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Entri\Assignments\"/>
    </mc:Choice>
  </mc:AlternateContent>
  <xr:revisionPtr revIDLastSave="0" documentId="13_ncr:1_{8C14D02A-1136-481B-8A8F-6E3974C9A77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ataset" sheetId="1" r:id="rId1"/>
    <sheet name="Task1_Sum_Count_Avg" sheetId="2" r:id="rId2"/>
    <sheet name="Task2_Min_Max" sheetId="3" r:id="rId3"/>
    <sheet name="Task3_IF_PriceRange" sheetId="8" r:id="rId4"/>
    <sheet name="Task4_SUMIF_COUNTIF" sheetId="5" r:id="rId5"/>
    <sheet name="Task5_Text_Functions " sheetId="9" r:id="rId6"/>
  </sheets>
  <definedNames>
    <definedName name="_xlnm._FilterDatabase" localSheetId="0" hidden="1">Dataset!$A$1:$F$35</definedName>
    <definedName name="_xlnm._FilterDatabase" localSheetId="3" hidden="1">Task3_IF_PriceRange!$A$1:$G$35</definedName>
    <definedName name="_xlnm._FilterDatabase" localSheetId="5" hidden="1">'Task5_Text_Functions 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9" l="1"/>
  <c r="J35" i="9"/>
  <c r="I35" i="9"/>
  <c r="H35" i="9"/>
  <c r="G35" i="9"/>
  <c r="J34" i="9"/>
  <c r="I34" i="9"/>
  <c r="H34" i="9"/>
  <c r="G34" i="9"/>
  <c r="J33" i="9"/>
  <c r="I33" i="9"/>
  <c r="H33" i="9"/>
  <c r="G33" i="9"/>
  <c r="J32" i="9"/>
  <c r="I32" i="9"/>
  <c r="H32" i="9"/>
  <c r="G32" i="9"/>
  <c r="J31" i="9"/>
  <c r="I31" i="9"/>
  <c r="H31" i="9"/>
  <c r="G31" i="9"/>
  <c r="J30" i="9"/>
  <c r="I30" i="9"/>
  <c r="H30" i="9"/>
  <c r="G30" i="9"/>
  <c r="J29" i="9"/>
  <c r="I29" i="9"/>
  <c r="H29" i="9"/>
  <c r="G29" i="9"/>
  <c r="J28" i="9"/>
  <c r="I28" i="9"/>
  <c r="H28" i="9"/>
  <c r="G28" i="9"/>
  <c r="J27" i="9"/>
  <c r="I27" i="9"/>
  <c r="H27" i="9"/>
  <c r="G27" i="9"/>
  <c r="J26" i="9"/>
  <c r="I26" i="9"/>
  <c r="H26" i="9"/>
  <c r="G26" i="9"/>
  <c r="J25" i="9"/>
  <c r="I25" i="9"/>
  <c r="H25" i="9"/>
  <c r="G25" i="9"/>
  <c r="J24" i="9"/>
  <c r="I24" i="9"/>
  <c r="H24" i="9"/>
  <c r="G24" i="9"/>
  <c r="J23" i="9"/>
  <c r="I23" i="9"/>
  <c r="H23" i="9"/>
  <c r="G23" i="9"/>
  <c r="J22" i="9"/>
  <c r="I22" i="9"/>
  <c r="H22" i="9"/>
  <c r="G22" i="9"/>
  <c r="J21" i="9"/>
  <c r="I21" i="9"/>
  <c r="H21" i="9"/>
  <c r="G21" i="9"/>
  <c r="J20" i="9"/>
  <c r="I20" i="9"/>
  <c r="H20" i="9"/>
  <c r="G20" i="9"/>
  <c r="J19" i="9"/>
  <c r="I19" i="9"/>
  <c r="H19" i="9"/>
  <c r="G19" i="9"/>
  <c r="J18" i="9"/>
  <c r="I18" i="9"/>
  <c r="H18" i="9"/>
  <c r="G18" i="9"/>
  <c r="J17" i="9"/>
  <c r="I17" i="9"/>
  <c r="H17" i="9"/>
  <c r="G17" i="9"/>
  <c r="J16" i="9"/>
  <c r="I16" i="9"/>
  <c r="H16" i="9"/>
  <c r="G16" i="9"/>
  <c r="J15" i="9"/>
  <c r="I15" i="9"/>
  <c r="H15" i="9"/>
  <c r="G15" i="9"/>
  <c r="J14" i="9"/>
  <c r="I14" i="9"/>
  <c r="H14" i="9"/>
  <c r="G14" i="9"/>
  <c r="J13" i="9"/>
  <c r="I13" i="9"/>
  <c r="H13" i="9"/>
  <c r="G13" i="9"/>
  <c r="J12" i="9"/>
  <c r="I12" i="9"/>
  <c r="H12" i="9"/>
  <c r="G12" i="9"/>
  <c r="J11" i="9"/>
  <c r="I11" i="9"/>
  <c r="H11" i="9"/>
  <c r="G11" i="9"/>
  <c r="J10" i="9"/>
  <c r="I10" i="9"/>
  <c r="H10" i="9"/>
  <c r="G10" i="9"/>
  <c r="J9" i="9"/>
  <c r="I9" i="9"/>
  <c r="H9" i="9"/>
  <c r="G9" i="9"/>
  <c r="J8" i="9"/>
  <c r="I8" i="9"/>
  <c r="H8" i="9"/>
  <c r="G8" i="9"/>
  <c r="J7" i="9"/>
  <c r="I7" i="9"/>
  <c r="H7" i="9"/>
  <c r="G7" i="9"/>
  <c r="J6" i="9"/>
  <c r="I6" i="9"/>
  <c r="H6" i="9"/>
  <c r="G6" i="9"/>
  <c r="J5" i="9"/>
  <c r="I5" i="9"/>
  <c r="H5" i="9"/>
  <c r="G5" i="9"/>
  <c r="J4" i="9"/>
  <c r="I4" i="9"/>
  <c r="H4" i="9"/>
  <c r="G4" i="9"/>
  <c r="J3" i="9"/>
  <c r="I3" i="9"/>
  <c r="H3" i="9"/>
  <c r="G3" i="9"/>
  <c r="J2" i="9"/>
  <c r="I2" i="9"/>
  <c r="H2" i="9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C7" i="5"/>
  <c r="C4" i="5"/>
  <c r="C8" i="3"/>
  <c r="C5" i="3"/>
  <c r="C11" i="2"/>
  <c r="C8" i="2"/>
  <c r="C5" i="2"/>
</calcChain>
</file>

<file path=xl/sharedStrings.xml><?xml version="1.0" encoding="utf-8"?>
<sst xmlns="http://schemas.openxmlformats.org/spreadsheetml/2006/main" count="469" uniqueCount="130">
  <si>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</si>
  <si>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</si>
  <si>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</si>
  <si>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</si>
  <si>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</si>
  <si>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</si>
  <si>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</si>
  <si>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</si>
  <si>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</si>
  <si>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</si>
  <si>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</si>
  <si>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</si>
  <si>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</si>
  <si>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</si>
  <si>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</si>
  <si>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</si>
  <si>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</si>
  <si>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</si>
  <si>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</si>
  <si>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</si>
  <si>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</si>
  <si>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</si>
  <si>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</si>
  <si>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</si>
  <si>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</si>
  <si>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</si>
  <si>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</si>
  <si>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</si>
  <si>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</si>
  <si>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</si>
  <si>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</si>
  <si>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</si>
  <si>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</si>
  <si>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</si>
  <si>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</si>
  <si>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</si>
  <si>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</si>
  <si>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</si>
  <si>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</si>
  <si>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</si>
  <si>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</si>
  <si>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</si>
  <si>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</si>
  <si>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</si>
  <si>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</si>
  <si>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</si>
  <si>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</si>
  <si>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</si>
  <si>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</si>
  <si>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</si>
  <si>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</si>
  <si>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</si>
  <si>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</si>
  <si>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</si>
  <si>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</si>
  <si>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</si>
  <si>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</si>
  <si>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</si>
  <si>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</si>
  <si>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</si>
  <si>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</si>
  <si>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</si>
  <si>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</si>
  <si>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</si>
  <si>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</si>
  <si>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</si>
  <si>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</si>
  <si>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</si>
  <si>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</si>
  <si>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</si>
  <si>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</si>
  <si>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</si>
  <si>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</si>
  <si>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</si>
  <si>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</si>
  <si>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</si>
  <si>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</si>
  <si>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</si>
  <si>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</si>
  <si>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</si>
  <si>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</si>
  <si>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</si>
  <si>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</si>
  <si>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</si>
  <si>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</si>
  <si>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</si>
  <si>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</si>
  <si>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</si>
  <si>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</si>
  <si>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</si>
  <si>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</si>
  <si>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</si>
  <si>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</si>
  <si>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</si>
  <si>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</si>
  <si>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</si>
  <si>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</si>
  <si>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Task 1: Sum, Count, and Average</t>
  </si>
  <si>
    <t>Total Price of all products:</t>
  </si>
  <si>
    <t>Formula used:</t>
  </si>
  <si>
    <t>Formula: =SUM(D2:D35)</t>
  </si>
  <si>
    <t>Number of products in dataset:</t>
  </si>
  <si>
    <t>Formula: =COUNT(D2:D35)</t>
  </si>
  <si>
    <t>Average Price of products:</t>
  </si>
  <si>
    <t>Formula: =AVERAGE(D2:D35)</t>
  </si>
  <si>
    <t>Task 2: Minimum and Maximum Values</t>
  </si>
  <si>
    <t>Minimum Price:</t>
  </si>
  <si>
    <t>Formula: =MIN(D2:D35)</t>
  </si>
  <si>
    <t>Maximum Price:</t>
  </si>
  <si>
    <t>Formula: =MAX(D2:D35)</t>
  </si>
  <si>
    <t>Task 3: Logical Function - IF (Price Range)</t>
  </si>
  <si>
    <t>New column created in Dataset sheet:</t>
  </si>
  <si>
    <t>Column G -&gt; 'Price Range'</t>
  </si>
  <si>
    <t>Formula used (in cell G2, copied down to G35):</t>
  </si>
  <si>
    <t>Formula: =IF(D2&gt;=500,"High Price","Standard Price")</t>
  </si>
  <si>
    <t>Task 4: Conditional Functions - SUMIF and COUNTIF</t>
  </si>
  <si>
    <t>Total Price of Electronics products:</t>
  </si>
  <si>
    <t>Formula: =SUMIF(F2:F35,"Electronics",D2:D35)</t>
  </si>
  <si>
    <t>Number of products priced below $100:</t>
  </si>
  <si>
    <t>Formula: =COUNTIF(D2:D35,"&lt;100")</t>
  </si>
  <si>
    <t>Task 5: Text Formatting - LEFT, RIGHT, MID</t>
  </si>
  <si>
    <t>Formulas used (row 2, then copied down to row 35):</t>
  </si>
  <si>
    <t>Column I-&gt;'Country code'</t>
  </si>
  <si>
    <t>Column J-&gt;'Month'</t>
  </si>
  <si>
    <t>Column H-&gt;'Day'</t>
  </si>
  <si>
    <t xml:space="preserve">                   New columns created in Dataset sheet:</t>
  </si>
  <si>
    <t>Country Code: Formula: =RIGHT(A2,2)</t>
  </si>
  <si>
    <t>Month: Formula: =MID(A2,4,3)</t>
  </si>
  <si>
    <t>Day                 : Formula: =LEFT(A2,2)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</si>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</sst>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7" x14ac:knownFonts="1">
    <font>
      <sz val="10"/>
      <color rgb="FF000000"/>
      <name val="Arial"/>
      <charset val="1"/>
    </font>
    <font>
      <b/>
      <sz val="11"/>
      <color rgb="FFFFFFFF"/>
      <name val="Arial"/>
      <family val="2"/>
    </font>
    <font>
      <sz val="10.5"/>
      <name val="Arial"/>
      <family val="2"/>
    </font>
    <font>
      <sz val="11"/>
      <name val="Arial"/>
      <family val="2"/>
    </font>
    <font>
      <b/>
      <sz val="11.5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.5"/>
      <color rgb="FF777777"/>
      <name val="Times New Roman"/>
      <family val="1"/>
    </font>
    <font>
      <b/>
      <sz val="13"/>
      <name val="Times New Roman"/>
      <family val="1"/>
    </font>
    <font>
      <b/>
      <sz val="16"/>
      <color rgb="FF0070C0"/>
      <name val="Times New Roman"/>
      <family val="1"/>
    </font>
    <font>
      <sz val="11"/>
      <name val="Times New Roman"/>
      <family val="1"/>
    </font>
    <font>
      <sz val="9.5"/>
      <color rgb="FF777777"/>
      <name val="Times New Roman"/>
      <family val="1"/>
    </font>
    <font>
      <b/>
      <sz val="16"/>
      <color theme="4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777777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0F7FA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theme="6" tint="0.79998168889431442"/>
        <bgColor rgb="FF3333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8" fillId="4" borderId="0" xfId="0" applyNumberFormat="1" applyFont="1" applyFill="1"/>
    <xf numFmtId="0" fontId="8" fillId="4" borderId="0" xfId="0" applyFont="1" applyFill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14" fillId="0" borderId="0" xfId="0" applyFont="1"/>
    <xf numFmtId="0" fontId="13" fillId="0" borderId="0" xfId="0" applyFont="1"/>
    <xf numFmtId="0" fontId="15" fillId="0" borderId="0" xfId="0" applyFont="1"/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0" xfId="0" applyFont="1" applyFill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2" fillId="5" borderId="0" xfId="0" applyFont="1" applyFill="1" applyAlignment="1">
      <alignment horizontal="left" vertical="center"/>
    </xf>
    <xf numFmtId="0" fontId="5" fillId="0" borderId="0" xfId="0" applyFont="1" applyAlignment="1">
      <alignment horizontal="center"/>
    </xf>
    <xf numFmtId="0" fontId="1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E0F7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70AD47"/>
      <rgbColor rgb="FF003300"/>
      <rgbColor rgb="FF1F1F1F"/>
      <rgbColor rgb="FF993300"/>
      <rgbColor rgb="FF993366"/>
      <rgbColor rgb="FF333399"/>
      <rgbColor rgb="FF2E40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152399</xdr:rowOff>
    </xdr:from>
    <xdr:to>
      <xdr:col>12</xdr:col>
      <xdr:colOff>561975</xdr:colOff>
      <xdr:row>19</xdr:row>
      <xdr:rowOff>28575</xdr:rowOff>
    </xdr:to>
    <xdr:sp macro="" textlink="">
      <xdr:nvSpPr>
        <xdr:cNvPr id="2" name="StepsTextBo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000500" y="704849"/>
          <a:ext cx="5324475" cy="2943226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rgbClr val="4472C4"/>
          </a:solidFill>
        </a:ln>
      </xdr:spPr>
      <xdr:txBody>
        <a:bodyPr wrap="square" lIns="91440" tIns="45720" rIns="91440" bIns="45720" rtlCol="0" anchor="t"/>
        <a:lstStyle/>
        <a:p>
          <a:pPr algn="l"/>
          <a:r>
            <a:rPr lang="en-US" sz="14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Steps I Followed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Opened the 'Dataset' sheet and confirmed the Price column is D2:D35.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Clicked an empty cell and typed =SUM(D2:D35) then pressed Enter to get the Total Price of all products.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In another cell, typed =COUNT(D2:D35) to count how many numeric price entries (i.e. products) exist in the dataset.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In another cell, typed =AVERAGE(D2:D35) to calculate the average price.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5: Applied currency formatting ($) to the Sum and Average results.</a:t>
          </a:r>
        </a:p>
        <a:p>
          <a:endParaRPr lang="en-US" sz="1000">
            <a:solidFill>
              <a:srgbClr val="333333"/>
            </a:solidFill>
            <a:latin typeface="Arial"/>
          </a:endParaRPr>
        </a:p>
        <a:p>
          <a:endParaRPr lang="en-US" sz="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114301</xdr:colOff>
      <xdr:row>2</xdr:row>
      <xdr:rowOff>161924</xdr:rowOff>
    </xdr:from>
    <xdr:to>
      <xdr:col>11</xdr:col>
      <xdr:colOff>552451</xdr:colOff>
      <xdr:row>16</xdr:row>
      <xdr:rowOff>28575</xdr:rowOff>
    </xdr:to>
    <xdr:sp macro="" textlink="">
      <xdr:nvSpPr>
        <xdr:cNvPr id="2" name="StepsTextBox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14751" y="714374"/>
          <a:ext cx="5238750" cy="238125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rgbClr val="4472C4"/>
          </a:solidFill>
        </a:ln>
      </xdr:spPr>
      <xdr:txBody>
        <a:bodyPr wrap="square" lIns="91440" tIns="45720" rIns="91440" bIns="45720" rtlCol="0" anchor="t"/>
        <a:lstStyle/>
        <a:p>
          <a:pPr algn="l"/>
          <a:r>
            <a:rPr lang="en-US" sz="14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Steps I Followed</a:t>
          </a:r>
        </a:p>
        <a:p>
          <a:endParaRPr lang="en-US" sz="4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Went to the 'Dataset' sheet and selected the Price column (D2:D35).</a:t>
          </a: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Clicked an empty cell and typed =MIN(D2:D35), then pressed Enter to find the lowest price in the dataset.</a:t>
          </a: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Clicked another empty cell and typed =MAX(D2:D35), then pressed Enter to find the highest price in the dataset.</a:t>
          </a: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Formatted both results as currency.</a:t>
          </a: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2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21167</xdr:colOff>
      <xdr:row>5</xdr:row>
      <xdr:rowOff>179915</xdr:rowOff>
    </xdr:from>
    <xdr:to>
      <xdr:col>18</xdr:col>
      <xdr:colOff>0</xdr:colOff>
      <xdr:row>19</xdr:row>
      <xdr:rowOff>66674</xdr:rowOff>
    </xdr:to>
    <xdr:sp macro="" textlink="">
      <xdr:nvSpPr>
        <xdr:cNvPr id="2" name="StepsTextBox">
          <a:extLst>
            <a:ext uri="{FF2B5EF4-FFF2-40B4-BE49-F238E27FC236}">
              <a16:creationId xmlns:a16="http://schemas.microsoft.com/office/drawing/2014/main" id="{FD652A11-ECEF-4FC2-8D97-CE3E26460AC9}"/>
            </a:ext>
          </a:extLst>
        </xdr:cNvPr>
        <xdr:cNvSpPr txBox="1"/>
      </xdr:nvSpPr>
      <xdr:spPr>
        <a:xfrm>
          <a:off x="10412942" y="1180040"/>
          <a:ext cx="5008033" cy="2687109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rgbClr val="4472C4"/>
          </a:solidFill>
        </a:ln>
      </xdr:spPr>
      <xdr:txBody>
        <a:bodyPr wrap="square" lIns="91440" tIns="45720" rIns="91440" bIns="45720" rtlCol="0" anchor="t"/>
        <a:lstStyle/>
        <a:p>
          <a:pPr algn="l"/>
          <a:r>
            <a:rPr lang="en-US" sz="14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Steps I Followed</a:t>
          </a:r>
        </a:p>
        <a:p>
          <a:endParaRPr lang="en-US" sz="400"/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Opened the 'Dataset' sheet and inserted a new column header 'Price Range' in cell G1.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Clicked cell G2 and typed the formula: =IF(D2&gt;=500,"High Price","Standard Price")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Pressed Enter, then selected G2 again and dragged the fill handle down to G35 to copy the formula for every product.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Checked a few rows manually - e.g. a Laptop priced $1000 correctly showed 'High Price', and a T-shirt priced $30 correctly showed 'Standard Price'.</a:t>
          </a:r>
        </a:p>
        <a:p>
          <a:endParaRPr lang="en-US" sz="400"/>
        </a:p>
        <a:p>
          <a:endParaRPr lang="en-US" sz="1000">
            <a:solidFill>
              <a:srgbClr val="333333"/>
            </a:solidFill>
            <a:latin typeface="Arial"/>
          </a:endParaRPr>
        </a:p>
        <a:p>
          <a:endParaRPr lang="en-US" sz="4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581024</xdr:colOff>
      <xdr:row>1</xdr:row>
      <xdr:rowOff>161924</xdr:rowOff>
    </xdr:from>
    <xdr:to>
      <xdr:col>17</xdr:col>
      <xdr:colOff>495299</xdr:colOff>
      <xdr:row>18</xdr:row>
      <xdr:rowOff>85724</xdr:rowOff>
    </xdr:to>
    <xdr:sp macro="" textlink="">
      <xdr:nvSpPr>
        <xdr:cNvPr id="2" name="StepsTextBox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143499" y="438149"/>
          <a:ext cx="5724525" cy="29813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rgbClr val="4472C4"/>
          </a:solidFill>
        </a:ln>
      </xdr:spPr>
      <xdr:txBody>
        <a:bodyPr wrap="square" lIns="91440" tIns="45720" rIns="91440" bIns="45720" rtlCol="0" anchor="t"/>
        <a:lstStyle/>
        <a:p>
          <a:pPr algn="l"/>
          <a:r>
            <a:rPr lang="en-US" sz="14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Steps I Followed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Went to the 'Dataset' sheet and identified the Category column (F) and Price column (D).</a:t>
          </a:r>
        </a:p>
        <a:p>
          <a:endParaRPr lang="en-US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Clicked an empty cell and typed =SUMIF(F2:F35,"Electronics",D2:D35) to add up the Price only for rows where Category = 'Electronics'.</a:t>
          </a:r>
        </a:p>
        <a:p>
          <a:endParaRPr lang="en-US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Pressed Enter and formatted the result as currency.</a:t>
          </a:r>
        </a:p>
        <a:p>
          <a:endParaRPr lang="en-US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Clicked another empty cell and typed =COUNTIF(D2:D35,"&lt;100") to count products priced under $100.</a:t>
          </a:r>
        </a:p>
        <a:p>
          <a:endParaRPr lang="en-US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5: Pressed Enter and verified the count by scanning the Price column for values under 100.</a:t>
          </a:r>
        </a:p>
        <a:p>
          <a:endParaRPr lang="en-US" sz="4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542925</xdr:colOff>
      <xdr:row>6</xdr:row>
      <xdr:rowOff>169333</xdr:rowOff>
    </xdr:from>
    <xdr:to>
      <xdr:col>21</xdr:col>
      <xdr:colOff>444500</xdr:colOff>
      <xdr:row>21</xdr:row>
      <xdr:rowOff>84667</xdr:rowOff>
    </xdr:to>
    <xdr:sp macro="" textlink="">
      <xdr:nvSpPr>
        <xdr:cNvPr id="2" name="StepsTextBox">
          <a:extLst>
            <a:ext uri="{FF2B5EF4-FFF2-40B4-BE49-F238E27FC236}">
              <a16:creationId xmlns:a16="http://schemas.microsoft.com/office/drawing/2014/main" id="{F033928E-F6AF-46A0-91F7-C1E3FD0BCC20}"/>
            </a:ext>
          </a:extLst>
        </xdr:cNvPr>
        <xdr:cNvSpPr txBox="1"/>
      </xdr:nvSpPr>
      <xdr:spPr>
        <a:xfrm>
          <a:off x="13327592" y="1375833"/>
          <a:ext cx="5754158" cy="293158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9050">
          <a:solidFill>
            <a:srgbClr val="4472C4"/>
          </a:solidFill>
        </a:ln>
      </xdr:spPr>
      <xdr:txBody>
        <a:bodyPr wrap="square" lIns="91440" tIns="45720" rIns="91440" bIns="45720" rtlCol="0" anchor="t"/>
        <a:lstStyle/>
        <a:p>
          <a:pPr algn="l"/>
          <a:r>
            <a:rPr lang="en-US" sz="14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Steps I Followed</a:t>
          </a:r>
        </a:p>
        <a:p>
          <a:endParaRPr lang="en-US" sz="1400"/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1: Opened the 'Dataset' sheet and looked at the Product ID format, e.g. '28-JAN-US' (Day-Month-CountryCode).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2: Added header 'Day' in H1. In H2 typed =LEFT(A2,2) to pull the first 2 characters ('28'), then filled down to H35.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3: Added header 'Country Code' in I1. In I2 typed =RIGHT(A2,2) to pull the last 2 characters ('US'), then filled down to I35.</a:t>
          </a:r>
        </a:p>
        <a:p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200">
              <a:solidFill>
                <a:srgbClr val="33333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Step 4: Added header 'Month' in J1. In J2 typed =MID(A2,4,3) to pull 3 characters starting at position 4 ('JAN'), then filled down to J35.</a:t>
          </a:r>
        </a:p>
        <a:p>
          <a:endParaRPr lang="en-US" sz="1050">
            <a:solidFill>
              <a:srgbClr val="33333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4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pane ySplit="1" topLeftCell="A2" activePane="bottomLeft" state="frozen"/>
      <selection pane="bottomLeft" activeCell="I26" sqref="I26"/>
    </sheetView>
  </sheetViews>
  <sheetFormatPr defaultColWidth="12.5703125" defaultRowHeight="12.75" x14ac:dyDescent="0.2"/>
  <cols>
    <col min="1" max="1" width="14" customWidth="1"/>
    <col min="2" max="2" width="16" customWidth="1"/>
    <col min="3" max="3" width="14" customWidth="1"/>
    <col min="4" max="4" width="11" customWidth="1"/>
    <col min="5" max="5" width="10" customWidth="1"/>
    <col min="6" max="6" width="13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13" t="s">
        <v>10</v>
      </c>
      <c r="B2" s="15" t="s">
        <v>11</v>
      </c>
      <c r="C2" s="15" t="s">
        <v>12</v>
      </c>
      <c r="D2" s="11">
        <v>1000</v>
      </c>
      <c r="E2" s="11">
        <v>30</v>
      </c>
      <c r="F2" s="15" t="s">
        <v>13</v>
      </c>
    </row>
    <row r="3" spans="1:6" ht="15.75" customHeight="1" x14ac:dyDescent="0.2">
      <c r="A3" s="14" t="s">
        <v>14</v>
      </c>
      <c r="B3" s="16" t="s">
        <v>15</v>
      </c>
      <c r="C3" s="16" t="s">
        <v>16</v>
      </c>
      <c r="D3" s="12">
        <v>80</v>
      </c>
      <c r="E3" s="12">
        <v>15</v>
      </c>
      <c r="F3" s="16" t="s">
        <v>17</v>
      </c>
    </row>
    <row r="4" spans="1:6" ht="15.75" customHeight="1" x14ac:dyDescent="0.2">
      <c r="A4" s="13" t="s">
        <v>18</v>
      </c>
      <c r="B4" s="15" t="s">
        <v>19</v>
      </c>
      <c r="C4" s="15" t="s">
        <v>20</v>
      </c>
      <c r="D4" s="11">
        <v>130</v>
      </c>
      <c r="E4" s="11">
        <v>40</v>
      </c>
      <c r="F4" s="15" t="s">
        <v>21</v>
      </c>
    </row>
    <row r="5" spans="1:6" ht="15.75" customHeight="1" x14ac:dyDescent="0.2">
      <c r="A5" s="14" t="s">
        <v>22</v>
      </c>
      <c r="B5" s="16" t="s">
        <v>23</v>
      </c>
      <c r="C5" s="16" t="s">
        <v>24</v>
      </c>
      <c r="D5" s="12">
        <v>900</v>
      </c>
      <c r="E5" s="12">
        <v>25</v>
      </c>
      <c r="F5" s="16" t="s">
        <v>13</v>
      </c>
    </row>
    <row r="6" spans="1:6" ht="15.75" customHeight="1" x14ac:dyDescent="0.2">
      <c r="A6" s="13" t="s">
        <v>25</v>
      </c>
      <c r="B6" s="15" t="s">
        <v>26</v>
      </c>
      <c r="C6" s="15" t="s">
        <v>27</v>
      </c>
      <c r="D6" s="11">
        <v>70</v>
      </c>
      <c r="E6" s="11">
        <v>20</v>
      </c>
      <c r="F6" s="15" t="s">
        <v>28</v>
      </c>
    </row>
    <row r="7" spans="1:6" ht="15.75" customHeight="1" x14ac:dyDescent="0.2">
      <c r="A7" s="14" t="s">
        <v>29</v>
      </c>
      <c r="B7" s="16" t="s">
        <v>30</v>
      </c>
      <c r="C7" s="16" t="s">
        <v>31</v>
      </c>
      <c r="D7" s="12">
        <v>200</v>
      </c>
      <c r="E7" s="12">
        <v>45</v>
      </c>
      <c r="F7" s="16" t="s">
        <v>13</v>
      </c>
    </row>
    <row r="8" spans="1:6" ht="15.75" customHeight="1" x14ac:dyDescent="0.2">
      <c r="A8" s="13" t="s">
        <v>32</v>
      </c>
      <c r="B8" s="15" t="s">
        <v>33</v>
      </c>
      <c r="C8" s="15" t="s">
        <v>34</v>
      </c>
      <c r="D8" s="11">
        <v>30</v>
      </c>
      <c r="E8" s="11">
        <v>5</v>
      </c>
      <c r="F8" s="15" t="s">
        <v>17</v>
      </c>
    </row>
    <row r="9" spans="1:6" ht="15.75" customHeight="1" x14ac:dyDescent="0.2">
      <c r="A9" s="14" t="s">
        <v>35</v>
      </c>
      <c r="B9" s="16" t="s">
        <v>36</v>
      </c>
      <c r="C9" s="16" t="s">
        <v>37</v>
      </c>
      <c r="D9" s="12">
        <v>90</v>
      </c>
      <c r="E9" s="12">
        <v>35</v>
      </c>
      <c r="F9" s="16" t="s">
        <v>21</v>
      </c>
    </row>
    <row r="10" spans="1:6" ht="15.75" customHeight="1" x14ac:dyDescent="0.2">
      <c r="A10" s="13" t="s">
        <v>38</v>
      </c>
      <c r="B10" s="15" t="s">
        <v>39</v>
      </c>
      <c r="C10" s="15" t="s">
        <v>40</v>
      </c>
      <c r="D10" s="11">
        <v>500</v>
      </c>
      <c r="E10" s="11">
        <v>50</v>
      </c>
      <c r="F10" s="15" t="s">
        <v>13</v>
      </c>
    </row>
    <row r="11" spans="1:6" ht="15.75" customHeight="1" x14ac:dyDescent="0.2">
      <c r="A11" s="14" t="s">
        <v>41</v>
      </c>
      <c r="B11" s="16" t="s">
        <v>42</v>
      </c>
      <c r="C11" s="16" t="s">
        <v>43</v>
      </c>
      <c r="D11" s="12">
        <v>130</v>
      </c>
      <c r="E11" s="12">
        <v>10</v>
      </c>
      <c r="F11" s="16" t="s">
        <v>28</v>
      </c>
    </row>
    <row r="12" spans="1:6" ht="15.75" customHeight="1" x14ac:dyDescent="0.2">
      <c r="A12" s="13" t="s">
        <v>44</v>
      </c>
      <c r="B12" s="15" t="s">
        <v>11</v>
      </c>
      <c r="C12" s="15" t="s">
        <v>45</v>
      </c>
      <c r="D12" s="11">
        <v>950</v>
      </c>
      <c r="E12" s="11">
        <v>25</v>
      </c>
      <c r="F12" s="15" t="s">
        <v>13</v>
      </c>
    </row>
    <row r="13" spans="1:6" ht="15.75" customHeight="1" x14ac:dyDescent="0.2">
      <c r="A13" s="14" t="s">
        <v>46</v>
      </c>
      <c r="B13" s="16" t="s">
        <v>15</v>
      </c>
      <c r="C13" s="16" t="s">
        <v>34</v>
      </c>
      <c r="D13" s="12">
        <v>90</v>
      </c>
      <c r="E13" s="12">
        <v>40</v>
      </c>
      <c r="F13" s="16" t="s">
        <v>17</v>
      </c>
    </row>
    <row r="14" spans="1:6" ht="15.75" customHeight="1" x14ac:dyDescent="0.2">
      <c r="A14" s="13" t="s">
        <v>47</v>
      </c>
      <c r="B14" s="15" t="s">
        <v>19</v>
      </c>
      <c r="C14" s="15" t="s">
        <v>48</v>
      </c>
      <c r="D14" s="11">
        <v>120</v>
      </c>
      <c r="E14" s="11">
        <v>35</v>
      </c>
      <c r="F14" s="15" t="s">
        <v>21</v>
      </c>
    </row>
    <row r="15" spans="1:6" ht="15.75" customHeight="1" x14ac:dyDescent="0.2">
      <c r="A15" s="14" t="s">
        <v>49</v>
      </c>
      <c r="B15" s="16" t="s">
        <v>50</v>
      </c>
      <c r="C15" s="16" t="s">
        <v>51</v>
      </c>
      <c r="D15" s="12">
        <v>150</v>
      </c>
      <c r="E15" s="12">
        <v>15</v>
      </c>
      <c r="F15" s="16" t="s">
        <v>13</v>
      </c>
    </row>
    <row r="16" spans="1:6" ht="15.75" customHeight="1" x14ac:dyDescent="0.2">
      <c r="A16" s="13" t="s">
        <v>52</v>
      </c>
      <c r="B16" s="15" t="s">
        <v>30</v>
      </c>
      <c r="C16" s="15" t="s">
        <v>53</v>
      </c>
      <c r="D16" s="11">
        <v>250</v>
      </c>
      <c r="E16" s="11">
        <v>20</v>
      </c>
      <c r="F16" s="15" t="s">
        <v>13</v>
      </c>
    </row>
    <row r="17" spans="1:6" ht="15.75" customHeight="1" x14ac:dyDescent="0.2">
      <c r="A17" s="14" t="s">
        <v>54</v>
      </c>
      <c r="B17" s="16" t="s">
        <v>55</v>
      </c>
      <c r="C17" s="16" t="s">
        <v>56</v>
      </c>
      <c r="D17" s="12">
        <v>50</v>
      </c>
      <c r="E17" s="12">
        <v>35</v>
      </c>
      <c r="F17" s="16" t="s">
        <v>57</v>
      </c>
    </row>
    <row r="18" spans="1:6" ht="15.75" customHeight="1" x14ac:dyDescent="0.2">
      <c r="A18" s="13" t="s">
        <v>58</v>
      </c>
      <c r="B18" s="15" t="s">
        <v>50</v>
      </c>
      <c r="C18" s="15" t="s">
        <v>59</v>
      </c>
      <c r="D18" s="11">
        <v>160</v>
      </c>
      <c r="E18" s="11">
        <v>15</v>
      </c>
      <c r="F18" s="15" t="s">
        <v>13</v>
      </c>
    </row>
    <row r="19" spans="1:6" ht="15.75" customHeight="1" x14ac:dyDescent="0.2">
      <c r="A19" s="14" t="s">
        <v>60</v>
      </c>
      <c r="B19" s="16" t="s">
        <v>11</v>
      </c>
      <c r="C19" s="16" t="s">
        <v>61</v>
      </c>
      <c r="D19" s="12">
        <v>980</v>
      </c>
      <c r="E19" s="12">
        <v>10</v>
      </c>
      <c r="F19" s="16" t="s">
        <v>13</v>
      </c>
    </row>
    <row r="20" spans="1:6" ht="15.75" customHeight="1" x14ac:dyDescent="0.2">
      <c r="A20" s="13" t="s">
        <v>62</v>
      </c>
      <c r="B20" s="15" t="s">
        <v>63</v>
      </c>
      <c r="C20" s="15" t="s">
        <v>64</v>
      </c>
      <c r="D20" s="11">
        <v>150</v>
      </c>
      <c r="E20" s="11">
        <v>15</v>
      </c>
      <c r="F20" s="15" t="s">
        <v>17</v>
      </c>
    </row>
    <row r="21" spans="1:6" ht="15.75" customHeight="1" x14ac:dyDescent="0.2">
      <c r="A21" s="14" t="s">
        <v>65</v>
      </c>
      <c r="B21" s="16" t="s">
        <v>66</v>
      </c>
      <c r="C21" s="16" t="s">
        <v>67</v>
      </c>
      <c r="D21" s="12">
        <v>200</v>
      </c>
      <c r="E21" s="12">
        <v>10</v>
      </c>
      <c r="F21" s="16" t="s">
        <v>28</v>
      </c>
    </row>
    <row r="22" spans="1:6" ht="15.75" customHeight="1" x14ac:dyDescent="0.2">
      <c r="A22" s="13" t="s">
        <v>68</v>
      </c>
      <c r="B22" s="15" t="s">
        <v>69</v>
      </c>
      <c r="C22" s="15" t="s">
        <v>70</v>
      </c>
      <c r="D22" s="11">
        <v>700</v>
      </c>
      <c r="E22" s="11">
        <v>50</v>
      </c>
      <c r="F22" s="15" t="s">
        <v>13</v>
      </c>
    </row>
    <row r="23" spans="1:6" ht="15.75" customHeight="1" x14ac:dyDescent="0.2">
      <c r="A23" s="14" t="s">
        <v>71</v>
      </c>
      <c r="B23" s="16" t="s">
        <v>72</v>
      </c>
      <c r="C23" s="16" t="s">
        <v>73</v>
      </c>
      <c r="D23" s="12">
        <v>80</v>
      </c>
      <c r="E23" s="12">
        <v>20</v>
      </c>
      <c r="F23" s="16" t="s">
        <v>21</v>
      </c>
    </row>
    <row r="24" spans="1:6" ht="15.75" customHeight="1" x14ac:dyDescent="0.2">
      <c r="A24" s="13" t="s">
        <v>74</v>
      </c>
      <c r="B24" s="15" t="s">
        <v>75</v>
      </c>
      <c r="C24" s="15" t="s">
        <v>76</v>
      </c>
      <c r="D24" s="11">
        <v>150</v>
      </c>
      <c r="E24" s="11">
        <v>30</v>
      </c>
      <c r="F24" s="15" t="s">
        <v>13</v>
      </c>
    </row>
    <row r="25" spans="1:6" ht="15.75" customHeight="1" x14ac:dyDescent="0.2">
      <c r="A25" s="14" t="s">
        <v>54</v>
      </c>
      <c r="B25" s="16" t="s">
        <v>55</v>
      </c>
      <c r="C25" s="16" t="s">
        <v>56</v>
      </c>
      <c r="D25" s="12">
        <v>50</v>
      </c>
      <c r="E25" s="12">
        <v>35</v>
      </c>
      <c r="F25" s="16" t="s">
        <v>57</v>
      </c>
    </row>
    <row r="26" spans="1:6" ht="15.75" customHeight="1" x14ac:dyDescent="0.2">
      <c r="A26" s="13" t="s">
        <v>77</v>
      </c>
      <c r="B26" s="15" t="s">
        <v>23</v>
      </c>
      <c r="C26" s="15" t="s">
        <v>78</v>
      </c>
      <c r="D26" s="11">
        <v>800</v>
      </c>
      <c r="E26" s="11">
        <v>45</v>
      </c>
      <c r="F26" s="15" t="s">
        <v>13</v>
      </c>
    </row>
    <row r="27" spans="1:6" ht="15.75" customHeight="1" x14ac:dyDescent="0.2">
      <c r="A27" s="14" t="s">
        <v>79</v>
      </c>
      <c r="B27" s="16" t="s">
        <v>63</v>
      </c>
      <c r="C27" s="16" t="s">
        <v>80</v>
      </c>
      <c r="D27" s="12">
        <v>130</v>
      </c>
      <c r="E27" s="12">
        <v>25</v>
      </c>
      <c r="F27" s="16" t="s">
        <v>17</v>
      </c>
    </row>
    <row r="28" spans="1:6" ht="15.75" customHeight="1" x14ac:dyDescent="0.2">
      <c r="A28" s="13" t="s">
        <v>81</v>
      </c>
      <c r="B28" s="15" t="s">
        <v>36</v>
      </c>
      <c r="C28" s="15" t="s">
        <v>82</v>
      </c>
      <c r="D28" s="11">
        <v>400</v>
      </c>
      <c r="E28" s="11">
        <v>40</v>
      </c>
      <c r="F28" s="15" t="s">
        <v>21</v>
      </c>
    </row>
    <row r="29" spans="1:6" ht="15.75" customHeight="1" x14ac:dyDescent="0.2">
      <c r="A29" s="14" t="s">
        <v>52</v>
      </c>
      <c r="B29" s="16" t="s">
        <v>30</v>
      </c>
      <c r="C29" s="16" t="s">
        <v>53</v>
      </c>
      <c r="D29" s="12">
        <v>230</v>
      </c>
      <c r="E29" s="12">
        <v>20</v>
      </c>
      <c r="F29" s="16" t="s">
        <v>13</v>
      </c>
    </row>
    <row r="30" spans="1:6" ht="15.75" customHeight="1" x14ac:dyDescent="0.2">
      <c r="A30" s="13" t="s">
        <v>83</v>
      </c>
      <c r="B30" s="15" t="s">
        <v>84</v>
      </c>
      <c r="C30" s="15" t="s">
        <v>85</v>
      </c>
      <c r="D30" s="11">
        <v>60</v>
      </c>
      <c r="E30" s="11">
        <v>30</v>
      </c>
      <c r="F30" s="15" t="s">
        <v>17</v>
      </c>
    </row>
    <row r="31" spans="1:6" ht="15.75" customHeight="1" x14ac:dyDescent="0.2">
      <c r="A31" s="14" t="s">
        <v>86</v>
      </c>
      <c r="B31" s="16" t="s">
        <v>87</v>
      </c>
      <c r="C31" s="16" t="s">
        <v>88</v>
      </c>
      <c r="D31" s="12">
        <v>40</v>
      </c>
      <c r="E31" s="12">
        <v>10</v>
      </c>
      <c r="F31" s="16" t="s">
        <v>21</v>
      </c>
    </row>
    <row r="32" spans="1:6" ht="15.75" customHeight="1" x14ac:dyDescent="0.2">
      <c r="A32" s="13" t="s">
        <v>89</v>
      </c>
      <c r="B32" s="15" t="s">
        <v>75</v>
      </c>
      <c r="C32" s="15" t="s">
        <v>90</v>
      </c>
      <c r="D32" s="11">
        <v>130</v>
      </c>
      <c r="E32" s="11">
        <v>5</v>
      </c>
      <c r="F32" s="15" t="s">
        <v>13</v>
      </c>
    </row>
    <row r="33" spans="1:6" ht="15.75" customHeight="1" x14ac:dyDescent="0.2">
      <c r="A33" s="14" t="s">
        <v>91</v>
      </c>
      <c r="B33" s="16" t="s">
        <v>92</v>
      </c>
      <c r="C33" s="16" t="s">
        <v>93</v>
      </c>
      <c r="D33" s="12">
        <v>50</v>
      </c>
      <c r="E33" s="12">
        <v>50</v>
      </c>
      <c r="F33" s="16" t="s">
        <v>17</v>
      </c>
    </row>
    <row r="34" spans="1:6" ht="15.75" customHeight="1" x14ac:dyDescent="0.2">
      <c r="A34" s="13" t="s">
        <v>44</v>
      </c>
      <c r="B34" s="15" t="s">
        <v>11</v>
      </c>
      <c r="C34" s="15" t="s">
        <v>45</v>
      </c>
      <c r="D34" s="11">
        <v>950</v>
      </c>
      <c r="E34" s="11">
        <v>25</v>
      </c>
      <c r="F34" s="15" t="s">
        <v>13</v>
      </c>
    </row>
    <row r="35" spans="1:6" ht="15.75" customHeight="1" x14ac:dyDescent="0.2">
      <c r="A35" s="14" t="s">
        <v>94</v>
      </c>
      <c r="B35" s="16" t="s">
        <v>95</v>
      </c>
      <c r="C35" s="16" t="s">
        <v>96</v>
      </c>
      <c r="D35" s="12">
        <v>100</v>
      </c>
      <c r="E35" s="12">
        <v>20</v>
      </c>
      <c r="F35" s="16" t="s">
        <v>57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zoomScaleNormal="100" workbookViewId="0">
      <selection activeCell="D16" sqref="D16"/>
    </sheetView>
  </sheetViews>
  <sheetFormatPr defaultColWidth="8.7109375" defaultRowHeight="12.75" x14ac:dyDescent="0.2"/>
  <cols>
    <col min="1" max="1" width="28" customWidth="1"/>
    <col min="2" max="2" width="4" customWidth="1"/>
    <col min="3" max="3" width="16" customWidth="1"/>
    <col min="4" max="7" width="3" customWidth="1"/>
    <col min="8" max="10" width="18" customWidth="1"/>
  </cols>
  <sheetData>
    <row r="1" spans="1:11" ht="21.75" customHeight="1" x14ac:dyDescent="0.2">
      <c r="A1" s="20" t="s">
        <v>97</v>
      </c>
      <c r="B1" s="20"/>
      <c r="C1" s="20"/>
      <c r="D1" s="20"/>
      <c r="E1" s="20"/>
      <c r="F1" s="20"/>
      <c r="G1" s="20"/>
    </row>
    <row r="2" spans="1:11" ht="21.75" customHeight="1" x14ac:dyDescent="0.2">
      <c r="A2" s="20"/>
      <c r="B2" s="20"/>
      <c r="C2" s="20"/>
      <c r="D2" s="20"/>
      <c r="E2" s="20"/>
      <c r="F2" s="20"/>
      <c r="G2" s="20"/>
    </row>
    <row r="3" spans="1:11" ht="12.75" customHeight="1" x14ac:dyDescent="0.2">
      <c r="A3" s="20"/>
      <c r="B3" s="20"/>
      <c r="C3" s="20"/>
      <c r="D3" s="20"/>
      <c r="E3" s="20"/>
      <c r="F3" s="20"/>
      <c r="G3" s="20"/>
    </row>
    <row r="4" spans="1:11" ht="15" customHeight="1" x14ac:dyDescent="0.2">
      <c r="A4" s="20"/>
      <c r="B4" s="20"/>
      <c r="C4" s="20"/>
      <c r="D4" s="20"/>
      <c r="E4" s="20"/>
      <c r="F4" s="20"/>
      <c r="G4" s="20"/>
      <c r="H4" s="2"/>
      <c r="I4" s="2"/>
      <c r="J4" s="2"/>
      <c r="K4" s="2"/>
    </row>
    <row r="5" spans="1:11" ht="15.75" customHeight="1" x14ac:dyDescent="0.25">
      <c r="A5" s="3" t="s">
        <v>98</v>
      </c>
      <c r="B5" s="5"/>
      <c r="C5" s="7">
        <f>SUM(Dataset!D2:D35)</f>
        <v>10100</v>
      </c>
      <c r="D5" s="5"/>
      <c r="E5" s="5"/>
      <c r="F5" s="5"/>
      <c r="G5" s="5"/>
      <c r="H5" s="2"/>
      <c r="I5" s="2"/>
      <c r="J5" s="2"/>
      <c r="K5" s="2"/>
    </row>
    <row r="6" spans="1:11" ht="15" customHeight="1" x14ac:dyDescent="0.2">
      <c r="A6" s="6" t="s">
        <v>99</v>
      </c>
      <c r="B6" s="5"/>
      <c r="C6" s="6" t="s">
        <v>100</v>
      </c>
      <c r="D6" s="5"/>
      <c r="E6" s="5"/>
      <c r="F6" s="5"/>
      <c r="G6" s="5"/>
      <c r="H6" s="2"/>
      <c r="I6" s="2"/>
      <c r="J6" s="2"/>
      <c r="K6" s="2"/>
    </row>
    <row r="7" spans="1:11" ht="15" customHeight="1" x14ac:dyDescent="0.2">
      <c r="A7" s="5"/>
      <c r="B7" s="5"/>
      <c r="C7" s="5"/>
      <c r="D7" s="5"/>
      <c r="E7" s="5"/>
      <c r="F7" s="5"/>
      <c r="G7" s="5"/>
      <c r="H7" s="2"/>
      <c r="I7" s="2"/>
      <c r="J7" s="2"/>
      <c r="K7" s="2"/>
    </row>
    <row r="8" spans="1:11" ht="15.75" customHeight="1" x14ac:dyDescent="0.25">
      <c r="A8" s="3" t="s">
        <v>101</v>
      </c>
      <c r="B8" s="5"/>
      <c r="C8" s="8">
        <f>COUNT(Dataset!D2:D35)</f>
        <v>34</v>
      </c>
      <c r="D8" s="5"/>
      <c r="E8" s="5"/>
      <c r="F8" s="5"/>
      <c r="G8" s="5"/>
      <c r="H8" s="2"/>
      <c r="I8" s="2"/>
      <c r="J8" s="2"/>
      <c r="K8" s="2"/>
    </row>
    <row r="9" spans="1:11" ht="15" customHeight="1" x14ac:dyDescent="0.2">
      <c r="A9" s="6" t="s">
        <v>99</v>
      </c>
      <c r="B9" s="5"/>
      <c r="C9" s="6" t="s">
        <v>102</v>
      </c>
      <c r="D9" s="5"/>
      <c r="E9" s="5"/>
      <c r="F9" s="5"/>
      <c r="G9" s="5"/>
      <c r="H9" s="2"/>
      <c r="I9" s="2"/>
      <c r="J9" s="2"/>
      <c r="K9" s="2"/>
    </row>
    <row r="10" spans="1:11" ht="15" customHeight="1" x14ac:dyDescent="0.2">
      <c r="A10" s="5"/>
      <c r="B10" s="5"/>
      <c r="C10" s="5"/>
      <c r="D10" s="5"/>
      <c r="E10" s="5"/>
      <c r="F10" s="5"/>
      <c r="G10" s="5"/>
      <c r="H10" s="2"/>
      <c r="I10" s="2"/>
      <c r="J10" s="2"/>
      <c r="K10" s="2"/>
    </row>
    <row r="11" spans="1:11" ht="15.75" customHeight="1" x14ac:dyDescent="0.25">
      <c r="A11" s="3" t="s">
        <v>103</v>
      </c>
      <c r="B11" s="5"/>
      <c r="C11" s="7">
        <f>AVERAGE(Dataset!D2:D35)</f>
        <v>297.05882352941177</v>
      </c>
      <c r="D11" s="5"/>
      <c r="E11" s="5"/>
      <c r="F11" s="5"/>
      <c r="G11" s="5"/>
      <c r="H11" s="2"/>
      <c r="I11" s="2"/>
      <c r="J11" s="2"/>
      <c r="K11" s="2"/>
    </row>
    <row r="12" spans="1:11" ht="15" customHeight="1" x14ac:dyDescent="0.2">
      <c r="A12" s="6" t="s">
        <v>99</v>
      </c>
      <c r="B12" s="5"/>
      <c r="C12" s="6" t="s">
        <v>104</v>
      </c>
      <c r="D12" s="5"/>
      <c r="E12" s="5"/>
      <c r="F12" s="5"/>
      <c r="G12" s="5"/>
      <c r="H12" s="2"/>
      <c r="I12" s="2"/>
      <c r="J12" s="2"/>
      <c r="K12" s="2"/>
    </row>
    <row r="13" spans="1:11" ht="15" customHeight="1" x14ac:dyDescent="0.2">
      <c r="H13" s="2"/>
      <c r="I13" s="2"/>
      <c r="J13" s="2"/>
      <c r="K13" s="2"/>
    </row>
  </sheetData>
  <mergeCells count="1">
    <mergeCell ref="A1:G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zoomScaleNormal="100" workbookViewId="0">
      <selection activeCell="J21" sqref="J21"/>
    </sheetView>
  </sheetViews>
  <sheetFormatPr defaultColWidth="8.7109375" defaultRowHeight="12.75" x14ac:dyDescent="0.2"/>
  <cols>
    <col min="1" max="1" width="22" customWidth="1"/>
    <col min="2" max="2" width="4" customWidth="1"/>
    <col min="3" max="3" width="16" customWidth="1"/>
    <col min="4" max="7" width="3" customWidth="1"/>
    <col min="8" max="11" width="18" customWidth="1"/>
  </cols>
  <sheetData>
    <row r="1" spans="1:12" ht="21.75" customHeight="1" x14ac:dyDescent="0.2">
      <c r="A1" s="21" t="s">
        <v>105</v>
      </c>
      <c r="B1" s="21"/>
      <c r="C1" s="21"/>
      <c r="D1" s="21"/>
      <c r="E1" s="21"/>
      <c r="F1" s="21"/>
    </row>
    <row r="2" spans="1:12" ht="21.75" customHeight="1" x14ac:dyDescent="0.2">
      <c r="A2" s="21"/>
      <c r="B2" s="21"/>
      <c r="C2" s="21"/>
      <c r="D2" s="21"/>
      <c r="E2" s="21"/>
      <c r="F2" s="21"/>
    </row>
    <row r="3" spans="1:12" x14ac:dyDescent="0.2">
      <c r="A3" s="22"/>
      <c r="B3" s="22"/>
      <c r="C3" s="22"/>
      <c r="D3" s="22"/>
      <c r="E3" s="22"/>
      <c r="F3" s="22"/>
    </row>
    <row r="4" spans="1:12" ht="15" customHeight="1" x14ac:dyDescent="0.2">
      <c r="H4" s="2"/>
      <c r="I4" s="2"/>
      <c r="J4" s="2"/>
      <c r="K4" s="2"/>
      <c r="L4" s="2"/>
    </row>
    <row r="5" spans="1:12" ht="15.75" customHeight="1" x14ac:dyDescent="0.25">
      <c r="A5" s="3" t="s">
        <v>106</v>
      </c>
      <c r="B5" s="5"/>
      <c r="C5" s="7">
        <f>MIN(Dataset!D2:D35)</f>
        <v>30</v>
      </c>
      <c r="D5" s="5"/>
      <c r="E5" s="5"/>
      <c r="H5" s="2"/>
      <c r="I5" s="2"/>
      <c r="J5" s="2"/>
      <c r="K5" s="2"/>
      <c r="L5" s="2"/>
    </row>
    <row r="6" spans="1:12" ht="15" customHeight="1" x14ac:dyDescent="0.2">
      <c r="A6" s="6" t="s">
        <v>99</v>
      </c>
      <c r="B6" s="5"/>
      <c r="C6" s="6" t="s">
        <v>107</v>
      </c>
      <c r="D6" s="5"/>
      <c r="E6" s="5"/>
      <c r="H6" s="2"/>
      <c r="I6" s="2"/>
      <c r="J6" s="2"/>
      <c r="K6" s="2"/>
      <c r="L6" s="2"/>
    </row>
    <row r="7" spans="1:12" ht="15" customHeight="1" x14ac:dyDescent="0.2">
      <c r="A7" s="5"/>
      <c r="B7" s="5"/>
      <c r="C7" s="5"/>
      <c r="D7" s="5"/>
      <c r="E7" s="5"/>
      <c r="H7" s="2"/>
      <c r="I7" s="2"/>
      <c r="J7" s="2"/>
      <c r="K7" s="2"/>
      <c r="L7" s="2"/>
    </row>
    <row r="8" spans="1:12" ht="15.75" customHeight="1" x14ac:dyDescent="0.25">
      <c r="A8" s="3" t="s">
        <v>108</v>
      </c>
      <c r="B8" s="5"/>
      <c r="C8" s="7">
        <f>MAX(Dataset!D2:D35)</f>
        <v>1000</v>
      </c>
      <c r="D8" s="5"/>
      <c r="E8" s="5"/>
      <c r="H8" s="2"/>
      <c r="I8" s="2"/>
      <c r="J8" s="2"/>
      <c r="K8" s="2"/>
      <c r="L8" s="2"/>
    </row>
    <row r="9" spans="1:12" ht="15" customHeight="1" x14ac:dyDescent="0.2">
      <c r="A9" s="6" t="s">
        <v>99</v>
      </c>
      <c r="B9" s="5"/>
      <c r="C9" s="6" t="s">
        <v>109</v>
      </c>
      <c r="D9" s="5"/>
      <c r="E9" s="5"/>
      <c r="H9" s="2"/>
      <c r="I9" s="2"/>
      <c r="J9" s="2"/>
      <c r="K9" s="2"/>
      <c r="L9" s="2"/>
    </row>
    <row r="10" spans="1:12" ht="15" customHeight="1" x14ac:dyDescent="0.2">
      <c r="H10" s="2"/>
      <c r="I10" s="2"/>
      <c r="J10" s="2"/>
      <c r="K10" s="2"/>
      <c r="L10" s="2"/>
    </row>
    <row r="11" spans="1:12" ht="15" customHeight="1" x14ac:dyDescent="0.2">
      <c r="H11" s="2"/>
      <c r="I11" s="2"/>
      <c r="J11" s="2"/>
      <c r="K11" s="2"/>
      <c r="L11" s="2"/>
    </row>
  </sheetData>
  <mergeCells count="1">
    <mergeCell ref="A1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4DD0-7F39-4CF8-98AF-AEC3D9068263}">
  <dimension ref="A1:T1000"/>
  <sheetViews>
    <sheetView zoomScaleNormal="100" workbookViewId="0">
      <pane ySplit="1" topLeftCell="A2" activePane="bottomLeft" state="frozen"/>
      <selection pane="bottomLeft" activeCell="I13" sqref="I13"/>
    </sheetView>
  </sheetViews>
  <sheetFormatPr defaultColWidth="12.5703125" defaultRowHeight="12.75" x14ac:dyDescent="0.2"/>
  <cols>
    <col min="1" max="1" width="14" customWidth="1"/>
    <col min="2" max="2" width="16" customWidth="1"/>
    <col min="3" max="3" width="14" customWidth="1"/>
    <col min="4" max="4" width="11" customWidth="1"/>
    <col min="5" max="5" width="10" customWidth="1"/>
    <col min="6" max="6" width="13" customWidth="1"/>
    <col min="7" max="7" width="15" customWidth="1"/>
  </cols>
  <sheetData>
    <row r="1" spans="1:20" ht="15.75" customHeight="1" x14ac:dyDescent="0.2">
      <c r="A1" s="1" t="s">
        <v>129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5.75" customHeight="1" x14ac:dyDescent="0.2">
      <c r="A2" s="13" t="s">
        <v>10</v>
      </c>
      <c r="B2" s="15" t="s">
        <v>11</v>
      </c>
      <c r="C2" s="15" t="s">
        <v>12</v>
      </c>
      <c r="D2" s="11">
        <v>1000</v>
      </c>
      <c r="E2" s="11">
        <v>30</v>
      </c>
      <c r="F2" s="15" t="s">
        <v>13</v>
      </c>
      <c r="G2" s="15" t="str">
        <f t="shared" ref="G2:G35" si="0">IF(D2&gt;=500,"High Price","Standard Price")</f>
        <v>High Price</v>
      </c>
      <c r="I2" s="20" t="s">
        <v>110</v>
      </c>
      <c r="J2" s="20"/>
      <c r="K2" s="20"/>
      <c r="L2" s="20"/>
      <c r="M2" s="20"/>
      <c r="N2" s="20"/>
    </row>
    <row r="3" spans="1:20" ht="15.75" customHeight="1" x14ac:dyDescent="0.2">
      <c r="A3" s="14" t="s">
        <v>14</v>
      </c>
      <c r="B3" s="16" t="s">
        <v>15</v>
      </c>
      <c r="C3" s="16" t="s">
        <v>16</v>
      </c>
      <c r="D3" s="12">
        <v>80</v>
      </c>
      <c r="E3" s="12">
        <v>15</v>
      </c>
      <c r="F3" s="16" t="s">
        <v>17</v>
      </c>
      <c r="G3" s="16" t="str">
        <f t="shared" si="0"/>
        <v>Standard Price</v>
      </c>
      <c r="I3" s="20"/>
      <c r="J3" s="20"/>
      <c r="K3" s="20"/>
      <c r="L3" s="20"/>
      <c r="M3" s="20"/>
      <c r="N3" s="20"/>
    </row>
    <row r="4" spans="1:20" ht="15.75" customHeight="1" x14ac:dyDescent="0.2">
      <c r="A4" s="13" t="s">
        <v>18</v>
      </c>
      <c r="B4" s="15" t="s">
        <v>19</v>
      </c>
      <c r="C4" s="15" t="s">
        <v>20</v>
      </c>
      <c r="D4" s="11">
        <v>130</v>
      </c>
      <c r="E4" s="11">
        <v>40</v>
      </c>
      <c r="F4" s="15" t="s">
        <v>21</v>
      </c>
      <c r="G4" s="15" t="str">
        <f t="shared" si="0"/>
        <v>Standard Price</v>
      </c>
      <c r="I4" s="20"/>
      <c r="J4" s="20"/>
      <c r="K4" s="20"/>
      <c r="L4" s="20"/>
      <c r="M4" s="20"/>
      <c r="N4" s="20"/>
    </row>
    <row r="5" spans="1:20" ht="15.75" customHeight="1" x14ac:dyDescent="0.2">
      <c r="A5" s="14" t="s">
        <v>22</v>
      </c>
      <c r="B5" s="16" t="s">
        <v>23</v>
      </c>
      <c r="C5" s="16" t="s">
        <v>24</v>
      </c>
      <c r="D5" s="12">
        <v>900</v>
      </c>
      <c r="E5" s="12">
        <v>25</v>
      </c>
      <c r="F5" s="16" t="s">
        <v>13</v>
      </c>
      <c r="G5" s="16" t="str">
        <f t="shared" si="0"/>
        <v>High Price</v>
      </c>
      <c r="I5" s="23"/>
      <c r="J5" s="23"/>
      <c r="K5" s="23"/>
      <c r="L5" s="23"/>
      <c r="M5" s="23"/>
      <c r="N5" s="23"/>
    </row>
    <row r="6" spans="1:20" ht="15.75" customHeight="1" x14ac:dyDescent="0.2">
      <c r="A6" s="13" t="s">
        <v>25</v>
      </c>
      <c r="B6" s="15" t="s">
        <v>26</v>
      </c>
      <c r="C6" s="15" t="s">
        <v>27</v>
      </c>
      <c r="D6" s="11">
        <v>70</v>
      </c>
      <c r="E6" s="11">
        <v>20</v>
      </c>
      <c r="F6" s="15" t="s">
        <v>28</v>
      </c>
      <c r="G6" s="15" t="str">
        <f t="shared" si="0"/>
        <v>Standard Price</v>
      </c>
      <c r="P6" s="2"/>
      <c r="Q6" s="2"/>
      <c r="R6" s="2"/>
      <c r="S6" s="2"/>
      <c r="T6" s="2"/>
    </row>
    <row r="7" spans="1:20" ht="15.75" customHeight="1" x14ac:dyDescent="0.2">
      <c r="A7" s="14" t="s">
        <v>29</v>
      </c>
      <c r="B7" s="16" t="s">
        <v>30</v>
      </c>
      <c r="C7" s="16" t="s">
        <v>31</v>
      </c>
      <c r="D7" s="12">
        <v>200</v>
      </c>
      <c r="E7" s="12">
        <v>45</v>
      </c>
      <c r="F7" s="16" t="s">
        <v>13</v>
      </c>
      <c r="G7" s="16" t="str">
        <f t="shared" si="0"/>
        <v>Standard Price</v>
      </c>
      <c r="I7" s="3" t="s">
        <v>111</v>
      </c>
      <c r="J7" s="4"/>
      <c r="K7" s="4"/>
      <c r="P7" s="2"/>
      <c r="Q7" s="2"/>
      <c r="R7" s="2"/>
      <c r="S7" s="2"/>
      <c r="T7" s="2"/>
    </row>
    <row r="8" spans="1:20" ht="15.75" customHeight="1" x14ac:dyDescent="0.25">
      <c r="A8" s="13" t="s">
        <v>32</v>
      </c>
      <c r="B8" s="15" t="s">
        <v>33</v>
      </c>
      <c r="C8" s="15" t="s">
        <v>34</v>
      </c>
      <c r="D8" s="11">
        <v>30</v>
      </c>
      <c r="E8" s="11">
        <v>5</v>
      </c>
      <c r="F8" s="15" t="s">
        <v>17</v>
      </c>
      <c r="G8" s="15" t="str">
        <f t="shared" si="0"/>
        <v>Standard Price</v>
      </c>
      <c r="I8" s="9" t="s">
        <v>112</v>
      </c>
      <c r="J8" s="4"/>
      <c r="K8" s="4"/>
      <c r="P8" s="2"/>
      <c r="Q8" s="2"/>
      <c r="R8" s="2"/>
      <c r="S8" s="2"/>
      <c r="T8" s="2"/>
    </row>
    <row r="9" spans="1:20" ht="15.75" customHeight="1" x14ac:dyDescent="0.2">
      <c r="A9" s="14" t="s">
        <v>35</v>
      </c>
      <c r="B9" s="16" t="s">
        <v>36</v>
      </c>
      <c r="C9" s="16" t="s">
        <v>37</v>
      </c>
      <c r="D9" s="12">
        <v>90</v>
      </c>
      <c r="E9" s="12">
        <v>35</v>
      </c>
      <c r="F9" s="16" t="s">
        <v>21</v>
      </c>
      <c r="G9" s="16" t="str">
        <f t="shared" si="0"/>
        <v>Standard Price</v>
      </c>
      <c r="I9" s="4"/>
      <c r="J9" s="4"/>
      <c r="K9" s="4"/>
      <c r="P9" s="2"/>
      <c r="Q9" s="2"/>
      <c r="R9" s="2"/>
      <c r="S9" s="2"/>
      <c r="T9" s="2"/>
    </row>
    <row r="10" spans="1:20" ht="15.75" customHeight="1" x14ac:dyDescent="0.2">
      <c r="A10" s="13" t="s">
        <v>38</v>
      </c>
      <c r="B10" s="15" t="s">
        <v>39</v>
      </c>
      <c r="C10" s="15" t="s">
        <v>40</v>
      </c>
      <c r="D10" s="11">
        <v>500</v>
      </c>
      <c r="E10" s="11">
        <v>50</v>
      </c>
      <c r="F10" s="15" t="s">
        <v>13</v>
      </c>
      <c r="G10" s="15" t="str">
        <f t="shared" si="0"/>
        <v>High Price</v>
      </c>
      <c r="I10" s="3" t="s">
        <v>113</v>
      </c>
      <c r="J10" s="4"/>
      <c r="K10" s="4"/>
      <c r="P10" s="2"/>
      <c r="Q10" s="2"/>
      <c r="R10" s="2"/>
      <c r="S10" s="2"/>
      <c r="T10" s="2"/>
    </row>
    <row r="11" spans="1:20" ht="15.75" customHeight="1" x14ac:dyDescent="0.2">
      <c r="A11" s="14" t="s">
        <v>41</v>
      </c>
      <c r="B11" s="16" t="s">
        <v>42</v>
      </c>
      <c r="C11" s="16" t="s">
        <v>43</v>
      </c>
      <c r="D11" s="12">
        <v>130</v>
      </c>
      <c r="E11" s="12">
        <v>10</v>
      </c>
      <c r="F11" s="16" t="s">
        <v>28</v>
      </c>
      <c r="G11" s="16" t="str">
        <f t="shared" si="0"/>
        <v>Standard Price</v>
      </c>
      <c r="I11" s="10" t="s">
        <v>114</v>
      </c>
      <c r="J11" s="4"/>
      <c r="K11" s="4"/>
      <c r="P11" s="2"/>
      <c r="Q11" s="2"/>
      <c r="R11" s="2"/>
      <c r="S11" s="2"/>
      <c r="T11" s="2"/>
    </row>
    <row r="12" spans="1:20" ht="15.75" customHeight="1" x14ac:dyDescent="0.2">
      <c r="A12" s="13" t="s">
        <v>44</v>
      </c>
      <c r="B12" s="15" t="s">
        <v>11</v>
      </c>
      <c r="C12" s="15" t="s">
        <v>45</v>
      </c>
      <c r="D12" s="11">
        <v>950</v>
      </c>
      <c r="E12" s="11">
        <v>25</v>
      </c>
      <c r="F12" s="15" t="s">
        <v>13</v>
      </c>
      <c r="G12" s="15" t="str">
        <f t="shared" si="0"/>
        <v>High Price</v>
      </c>
      <c r="I12" s="4"/>
      <c r="J12" s="4"/>
      <c r="K12" s="4"/>
      <c r="P12" s="2"/>
      <c r="Q12" s="2"/>
      <c r="R12" s="2"/>
      <c r="S12" s="2"/>
      <c r="T12" s="2"/>
    </row>
    <row r="13" spans="1:20" ht="15.75" customHeight="1" x14ac:dyDescent="0.2">
      <c r="A13" s="14" t="s">
        <v>46</v>
      </c>
      <c r="B13" s="16" t="s">
        <v>15</v>
      </c>
      <c r="C13" s="16" t="s">
        <v>34</v>
      </c>
      <c r="D13" s="12">
        <v>90</v>
      </c>
      <c r="E13" s="12">
        <v>40</v>
      </c>
      <c r="F13" s="16" t="s">
        <v>17</v>
      </c>
      <c r="G13" s="16" t="str">
        <f t="shared" si="0"/>
        <v>Standard Price</v>
      </c>
      <c r="P13" s="2"/>
      <c r="Q13" s="2"/>
      <c r="R13" s="2"/>
      <c r="S13" s="2"/>
      <c r="T13" s="2"/>
    </row>
    <row r="14" spans="1:20" ht="15.75" customHeight="1" x14ac:dyDescent="0.2">
      <c r="A14" s="13" t="s">
        <v>47</v>
      </c>
      <c r="B14" s="15" t="s">
        <v>19</v>
      </c>
      <c r="C14" s="15" t="s">
        <v>48</v>
      </c>
      <c r="D14" s="11">
        <v>120</v>
      </c>
      <c r="E14" s="11">
        <v>35</v>
      </c>
      <c r="F14" s="15" t="s">
        <v>21</v>
      </c>
      <c r="G14" s="15" t="str">
        <f t="shared" si="0"/>
        <v>Standard Price</v>
      </c>
    </row>
    <row r="15" spans="1:20" ht="15.75" customHeight="1" x14ac:dyDescent="0.2">
      <c r="A15" s="14" t="s">
        <v>49</v>
      </c>
      <c r="B15" s="16" t="s">
        <v>50</v>
      </c>
      <c r="C15" s="16" t="s">
        <v>51</v>
      </c>
      <c r="D15" s="12">
        <v>150</v>
      </c>
      <c r="E15" s="12">
        <v>15</v>
      </c>
      <c r="F15" s="16" t="s">
        <v>13</v>
      </c>
      <c r="G15" s="16" t="str">
        <f t="shared" si="0"/>
        <v>Standard Price</v>
      </c>
    </row>
    <row r="16" spans="1:20" ht="15.75" customHeight="1" x14ac:dyDescent="0.2">
      <c r="A16" s="13" t="s">
        <v>52</v>
      </c>
      <c r="B16" s="15" t="s">
        <v>30</v>
      </c>
      <c r="C16" s="15" t="s">
        <v>53</v>
      </c>
      <c r="D16" s="11">
        <v>250</v>
      </c>
      <c r="E16" s="11">
        <v>20</v>
      </c>
      <c r="F16" s="15" t="s">
        <v>13</v>
      </c>
      <c r="G16" s="15" t="str">
        <f t="shared" si="0"/>
        <v>Standard Price</v>
      </c>
    </row>
    <row r="17" spans="1:7" ht="15.75" customHeight="1" x14ac:dyDescent="0.2">
      <c r="A17" s="14" t="s">
        <v>54</v>
      </c>
      <c r="B17" s="16" t="s">
        <v>55</v>
      </c>
      <c r="C17" s="16" t="s">
        <v>56</v>
      </c>
      <c r="D17" s="12">
        <v>50</v>
      </c>
      <c r="E17" s="12">
        <v>35</v>
      </c>
      <c r="F17" s="16" t="s">
        <v>57</v>
      </c>
      <c r="G17" s="16" t="str">
        <f t="shared" si="0"/>
        <v>Standard Price</v>
      </c>
    </row>
    <row r="18" spans="1:7" ht="15.75" customHeight="1" x14ac:dyDescent="0.2">
      <c r="A18" s="13" t="s">
        <v>58</v>
      </c>
      <c r="B18" s="15" t="s">
        <v>50</v>
      </c>
      <c r="C18" s="15" t="s">
        <v>59</v>
      </c>
      <c r="D18" s="11">
        <v>160</v>
      </c>
      <c r="E18" s="11">
        <v>15</v>
      </c>
      <c r="F18" s="15" t="s">
        <v>13</v>
      </c>
      <c r="G18" s="15" t="str">
        <f t="shared" si="0"/>
        <v>Standard Price</v>
      </c>
    </row>
    <row r="19" spans="1:7" ht="15.75" customHeight="1" x14ac:dyDescent="0.2">
      <c r="A19" s="14" t="s">
        <v>60</v>
      </c>
      <c r="B19" s="16" t="s">
        <v>11</v>
      </c>
      <c r="C19" s="16" t="s">
        <v>61</v>
      </c>
      <c r="D19" s="12">
        <v>980</v>
      </c>
      <c r="E19" s="12">
        <v>10</v>
      </c>
      <c r="F19" s="16" t="s">
        <v>13</v>
      </c>
      <c r="G19" s="16" t="str">
        <f t="shared" si="0"/>
        <v>High Price</v>
      </c>
    </row>
    <row r="20" spans="1:7" ht="15.75" customHeight="1" x14ac:dyDescent="0.2">
      <c r="A20" s="13" t="s">
        <v>62</v>
      </c>
      <c r="B20" s="15" t="s">
        <v>63</v>
      </c>
      <c r="C20" s="15" t="s">
        <v>64</v>
      </c>
      <c r="D20" s="11">
        <v>150</v>
      </c>
      <c r="E20" s="11">
        <v>15</v>
      </c>
      <c r="F20" s="15" t="s">
        <v>17</v>
      </c>
      <c r="G20" s="15" t="str">
        <f t="shared" si="0"/>
        <v>Standard Price</v>
      </c>
    </row>
    <row r="21" spans="1:7" ht="15.75" customHeight="1" x14ac:dyDescent="0.2">
      <c r="A21" s="14" t="s">
        <v>65</v>
      </c>
      <c r="B21" s="16" t="s">
        <v>66</v>
      </c>
      <c r="C21" s="16" t="s">
        <v>67</v>
      </c>
      <c r="D21" s="12">
        <v>200</v>
      </c>
      <c r="E21" s="12">
        <v>10</v>
      </c>
      <c r="F21" s="16" t="s">
        <v>28</v>
      </c>
      <c r="G21" s="16" t="str">
        <f t="shared" si="0"/>
        <v>Standard Price</v>
      </c>
    </row>
    <row r="22" spans="1:7" ht="15.75" customHeight="1" x14ac:dyDescent="0.2">
      <c r="A22" s="13" t="s">
        <v>68</v>
      </c>
      <c r="B22" s="15" t="s">
        <v>69</v>
      </c>
      <c r="C22" s="15" t="s">
        <v>70</v>
      </c>
      <c r="D22" s="11">
        <v>700</v>
      </c>
      <c r="E22" s="11">
        <v>50</v>
      </c>
      <c r="F22" s="15" t="s">
        <v>13</v>
      </c>
      <c r="G22" s="15" t="str">
        <f t="shared" si="0"/>
        <v>High Price</v>
      </c>
    </row>
    <row r="23" spans="1:7" ht="15.75" customHeight="1" x14ac:dyDescent="0.2">
      <c r="A23" s="14" t="s">
        <v>71</v>
      </c>
      <c r="B23" s="16" t="s">
        <v>72</v>
      </c>
      <c r="C23" s="16" t="s">
        <v>73</v>
      </c>
      <c r="D23" s="12">
        <v>80</v>
      </c>
      <c r="E23" s="12">
        <v>20</v>
      </c>
      <c r="F23" s="16" t="s">
        <v>21</v>
      </c>
      <c r="G23" s="16" t="str">
        <f t="shared" si="0"/>
        <v>Standard Price</v>
      </c>
    </row>
    <row r="24" spans="1:7" ht="15.75" customHeight="1" x14ac:dyDescent="0.2">
      <c r="A24" s="13" t="s">
        <v>74</v>
      </c>
      <c r="B24" s="15" t="s">
        <v>75</v>
      </c>
      <c r="C24" s="15" t="s">
        <v>76</v>
      </c>
      <c r="D24" s="11">
        <v>150</v>
      </c>
      <c r="E24" s="11">
        <v>30</v>
      </c>
      <c r="F24" s="15" t="s">
        <v>13</v>
      </c>
      <c r="G24" s="15" t="str">
        <f t="shared" si="0"/>
        <v>Standard Price</v>
      </c>
    </row>
    <row r="25" spans="1:7" ht="15.75" customHeight="1" x14ac:dyDescent="0.2">
      <c r="A25" s="14" t="s">
        <v>54</v>
      </c>
      <c r="B25" s="16" t="s">
        <v>55</v>
      </c>
      <c r="C25" s="16" t="s">
        <v>56</v>
      </c>
      <c r="D25" s="12">
        <v>50</v>
      </c>
      <c r="E25" s="12">
        <v>35</v>
      </c>
      <c r="F25" s="16" t="s">
        <v>57</v>
      </c>
      <c r="G25" s="16" t="str">
        <f t="shared" si="0"/>
        <v>Standard Price</v>
      </c>
    </row>
    <row r="26" spans="1:7" ht="15.75" customHeight="1" x14ac:dyDescent="0.2">
      <c r="A26" s="13" t="s">
        <v>77</v>
      </c>
      <c r="B26" s="15" t="s">
        <v>23</v>
      </c>
      <c r="C26" s="15" t="s">
        <v>78</v>
      </c>
      <c r="D26" s="11">
        <v>800</v>
      </c>
      <c r="E26" s="11">
        <v>45</v>
      </c>
      <c r="F26" s="15" t="s">
        <v>13</v>
      </c>
      <c r="G26" s="15" t="str">
        <f t="shared" si="0"/>
        <v>High Price</v>
      </c>
    </row>
    <row r="27" spans="1:7" ht="15.75" customHeight="1" x14ac:dyDescent="0.2">
      <c r="A27" s="14" t="s">
        <v>79</v>
      </c>
      <c r="B27" s="16" t="s">
        <v>63</v>
      </c>
      <c r="C27" s="16" t="s">
        <v>80</v>
      </c>
      <c r="D27" s="12">
        <v>130</v>
      </c>
      <c r="E27" s="12">
        <v>25</v>
      </c>
      <c r="F27" s="16" t="s">
        <v>17</v>
      </c>
      <c r="G27" s="16" t="str">
        <f t="shared" si="0"/>
        <v>Standard Price</v>
      </c>
    </row>
    <row r="28" spans="1:7" ht="15.75" customHeight="1" x14ac:dyDescent="0.2">
      <c r="A28" s="13" t="s">
        <v>81</v>
      </c>
      <c r="B28" s="15" t="s">
        <v>36</v>
      </c>
      <c r="C28" s="15" t="s">
        <v>82</v>
      </c>
      <c r="D28" s="11">
        <v>400</v>
      </c>
      <c r="E28" s="11">
        <v>40</v>
      </c>
      <c r="F28" s="15" t="s">
        <v>21</v>
      </c>
      <c r="G28" s="15" t="str">
        <f t="shared" si="0"/>
        <v>Standard Price</v>
      </c>
    </row>
    <row r="29" spans="1:7" ht="15.75" customHeight="1" x14ac:dyDescent="0.2">
      <c r="A29" s="14" t="s">
        <v>52</v>
      </c>
      <c r="B29" s="16" t="s">
        <v>30</v>
      </c>
      <c r="C29" s="16" t="s">
        <v>53</v>
      </c>
      <c r="D29" s="12">
        <v>230</v>
      </c>
      <c r="E29" s="12">
        <v>20</v>
      </c>
      <c r="F29" s="16" t="s">
        <v>13</v>
      </c>
      <c r="G29" s="16" t="str">
        <f t="shared" si="0"/>
        <v>Standard Price</v>
      </c>
    </row>
    <row r="30" spans="1:7" ht="15.75" customHeight="1" x14ac:dyDescent="0.2">
      <c r="A30" s="13" t="s">
        <v>83</v>
      </c>
      <c r="B30" s="15" t="s">
        <v>84</v>
      </c>
      <c r="C30" s="15" t="s">
        <v>85</v>
      </c>
      <c r="D30" s="11">
        <v>60</v>
      </c>
      <c r="E30" s="11">
        <v>30</v>
      </c>
      <c r="F30" s="15" t="s">
        <v>17</v>
      </c>
      <c r="G30" s="15" t="str">
        <f t="shared" si="0"/>
        <v>Standard Price</v>
      </c>
    </row>
    <row r="31" spans="1:7" ht="15.75" customHeight="1" x14ac:dyDescent="0.2">
      <c r="A31" s="14" t="s">
        <v>86</v>
      </c>
      <c r="B31" s="16" t="s">
        <v>87</v>
      </c>
      <c r="C31" s="16" t="s">
        <v>88</v>
      </c>
      <c r="D31" s="12">
        <v>40</v>
      </c>
      <c r="E31" s="12">
        <v>10</v>
      </c>
      <c r="F31" s="16" t="s">
        <v>21</v>
      </c>
      <c r="G31" s="16" t="str">
        <f t="shared" si="0"/>
        <v>Standard Price</v>
      </c>
    </row>
    <row r="32" spans="1:7" ht="15.75" customHeight="1" x14ac:dyDescent="0.2">
      <c r="A32" s="13" t="s">
        <v>89</v>
      </c>
      <c r="B32" s="15" t="s">
        <v>75</v>
      </c>
      <c r="C32" s="15" t="s">
        <v>90</v>
      </c>
      <c r="D32" s="11">
        <v>130</v>
      </c>
      <c r="E32" s="11">
        <v>5</v>
      </c>
      <c r="F32" s="15" t="s">
        <v>13</v>
      </c>
      <c r="G32" s="15" t="str">
        <f t="shared" si="0"/>
        <v>Standard Price</v>
      </c>
    </row>
    <row r="33" spans="1:7" ht="15.75" customHeight="1" x14ac:dyDescent="0.2">
      <c r="A33" s="14" t="s">
        <v>91</v>
      </c>
      <c r="B33" s="16" t="s">
        <v>92</v>
      </c>
      <c r="C33" s="16" t="s">
        <v>93</v>
      </c>
      <c r="D33" s="12">
        <v>50</v>
      </c>
      <c r="E33" s="12">
        <v>50</v>
      </c>
      <c r="F33" s="16" t="s">
        <v>17</v>
      </c>
      <c r="G33" s="16" t="str">
        <f t="shared" si="0"/>
        <v>Standard Price</v>
      </c>
    </row>
    <row r="34" spans="1:7" ht="15.75" customHeight="1" x14ac:dyDescent="0.2">
      <c r="A34" s="13" t="s">
        <v>44</v>
      </c>
      <c r="B34" s="15" t="s">
        <v>11</v>
      </c>
      <c r="C34" s="15" t="s">
        <v>45</v>
      </c>
      <c r="D34" s="11">
        <v>950</v>
      </c>
      <c r="E34" s="11">
        <v>25</v>
      </c>
      <c r="F34" s="15" t="s">
        <v>13</v>
      </c>
      <c r="G34" s="15" t="str">
        <f t="shared" si="0"/>
        <v>High Price</v>
      </c>
    </row>
    <row r="35" spans="1:7" ht="15.75" customHeight="1" x14ac:dyDescent="0.2">
      <c r="A35" s="14" t="s">
        <v>94</v>
      </c>
      <c r="B35" s="16" t="s">
        <v>95</v>
      </c>
      <c r="C35" s="16" t="s">
        <v>96</v>
      </c>
      <c r="D35" s="12">
        <v>100</v>
      </c>
      <c r="E35" s="12">
        <v>20</v>
      </c>
      <c r="F35" s="16" t="s">
        <v>57</v>
      </c>
      <c r="G35" s="16" t="str">
        <f t="shared" si="0"/>
        <v>Standard Price</v>
      </c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I2:N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zoomScaleNormal="100" workbookViewId="0">
      <selection activeCell="C7" sqref="C7"/>
    </sheetView>
  </sheetViews>
  <sheetFormatPr defaultColWidth="8.7109375" defaultRowHeight="12.75" x14ac:dyDescent="0.2"/>
  <cols>
    <col min="1" max="1" width="30" customWidth="1"/>
    <col min="2" max="2" width="8.42578125" customWidth="1"/>
    <col min="3" max="3" width="18" customWidth="1"/>
    <col min="4" max="7" width="3" customWidth="1"/>
  </cols>
  <sheetData>
    <row r="1" spans="1:8" ht="21.75" customHeight="1" x14ac:dyDescent="0.2">
      <c r="A1" s="24" t="s">
        <v>115</v>
      </c>
      <c r="B1" s="24"/>
      <c r="C1" s="24"/>
      <c r="D1" s="24"/>
      <c r="E1" s="24"/>
      <c r="F1" s="24"/>
      <c r="G1" s="24"/>
      <c r="H1" s="24"/>
    </row>
    <row r="2" spans="1:8" x14ac:dyDescent="0.2">
      <c r="A2" s="24"/>
      <c r="B2" s="24"/>
      <c r="C2" s="24"/>
      <c r="D2" s="24"/>
      <c r="E2" s="24"/>
      <c r="F2" s="24"/>
      <c r="G2" s="24"/>
      <c r="H2" s="24"/>
    </row>
    <row r="3" spans="1:8" ht="15" customHeight="1" x14ac:dyDescent="0.2">
      <c r="H3" s="2"/>
    </row>
    <row r="4" spans="1:8" ht="15.75" customHeight="1" x14ac:dyDescent="0.25">
      <c r="A4" s="3" t="s">
        <v>116</v>
      </c>
      <c r="B4" s="4"/>
      <c r="C4" s="7">
        <f>SUMIF(Dataset!F2:F35,"Electronics",Dataset!D2:D35)</f>
        <v>8050</v>
      </c>
      <c r="D4" s="4"/>
      <c r="E4" s="4"/>
      <c r="F4" s="4"/>
      <c r="G4" s="4"/>
      <c r="H4" s="2"/>
    </row>
    <row r="5" spans="1:8" ht="15" customHeight="1" x14ac:dyDescent="0.2">
      <c r="A5" s="10" t="s">
        <v>99</v>
      </c>
      <c r="B5" s="4"/>
      <c r="C5" s="10" t="s">
        <v>117</v>
      </c>
      <c r="D5" s="4"/>
      <c r="E5" s="4"/>
      <c r="F5" s="4"/>
      <c r="G5" s="4"/>
      <c r="H5" s="2"/>
    </row>
    <row r="6" spans="1:8" ht="15" customHeight="1" x14ac:dyDescent="0.2">
      <c r="A6" s="4"/>
      <c r="B6" s="4"/>
      <c r="C6" s="4"/>
      <c r="D6" s="4"/>
      <c r="E6" s="4"/>
      <c r="F6" s="4"/>
      <c r="G6" s="4"/>
      <c r="H6" s="2"/>
    </row>
    <row r="7" spans="1:8" ht="15.75" customHeight="1" x14ac:dyDescent="0.25">
      <c r="A7" s="3" t="s">
        <v>118</v>
      </c>
      <c r="B7" s="4"/>
      <c r="C7" s="8">
        <f>COUNTIF(Dataset!D2:D35,"&lt;100")</f>
        <v>11</v>
      </c>
      <c r="D7" s="4"/>
      <c r="E7" s="4"/>
      <c r="F7" s="4"/>
      <c r="G7" s="4"/>
      <c r="H7" s="2"/>
    </row>
    <row r="8" spans="1:8" ht="15" customHeight="1" x14ac:dyDescent="0.2">
      <c r="A8" s="10" t="s">
        <v>99</v>
      </c>
      <c r="B8" s="4"/>
      <c r="C8" s="10" t="s">
        <v>119</v>
      </c>
      <c r="D8" s="4"/>
      <c r="E8" s="4"/>
      <c r="F8" s="4"/>
      <c r="G8" s="4"/>
      <c r="H8" s="2"/>
    </row>
    <row r="9" spans="1:8" ht="15" customHeight="1" x14ac:dyDescent="0.2">
      <c r="H9" s="2"/>
    </row>
    <row r="10" spans="1:8" ht="15" customHeight="1" x14ac:dyDescent="0.2">
      <c r="H10" s="2"/>
    </row>
    <row r="11" spans="1:8" ht="15" customHeight="1" x14ac:dyDescent="0.2">
      <c r="H11" s="2"/>
    </row>
    <row r="12" spans="1:8" ht="15" customHeight="1" x14ac:dyDescent="0.2">
      <c r="H12" s="2"/>
    </row>
  </sheetData>
  <mergeCells count="1">
    <mergeCell ref="A1:H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9071-0CEF-46CA-9959-F21C7A4A631C}">
  <dimension ref="A1:S991"/>
  <sheetViews>
    <sheetView zoomScale="90" zoomScaleNormal="90" workbookViewId="0">
      <pane ySplit="1" topLeftCell="A2" activePane="bottomLeft" state="frozen"/>
      <selection pane="bottomLeft" activeCell="L21" sqref="L21"/>
    </sheetView>
  </sheetViews>
  <sheetFormatPr defaultColWidth="12.5703125" defaultRowHeight="12.75" x14ac:dyDescent="0.2"/>
  <cols>
    <col min="1" max="1" width="14" customWidth="1"/>
    <col min="2" max="2" width="16" customWidth="1"/>
    <col min="3" max="3" width="14" customWidth="1"/>
    <col min="4" max="4" width="11" customWidth="1"/>
    <col min="5" max="5" width="10" customWidth="1"/>
    <col min="6" max="6" width="13" customWidth="1"/>
    <col min="7" max="7" width="15" customWidth="1"/>
    <col min="8" max="8" width="10.42578125" customWidth="1"/>
    <col min="9" max="9" width="13" customWidth="1"/>
    <col min="10" max="10" width="9" customWidth="1"/>
    <col min="13" max="13" width="28.5703125" customWidth="1"/>
  </cols>
  <sheetData>
    <row r="1" spans="1:19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9" ht="15.75" customHeight="1" x14ac:dyDescent="0.2">
      <c r="A2" s="13" t="s">
        <v>10</v>
      </c>
      <c r="B2" s="15" t="s">
        <v>11</v>
      </c>
      <c r="C2" s="15" t="s">
        <v>12</v>
      </c>
      <c r="D2" s="11">
        <v>1000</v>
      </c>
      <c r="E2" s="11">
        <v>30</v>
      </c>
      <c r="F2" s="15" t="s">
        <v>13</v>
      </c>
      <c r="G2" s="15" t="str">
        <f>IF(D2&gt;K4=500,"High Price","Standard Price")</f>
        <v>Standard Price</v>
      </c>
      <c r="H2" s="11" t="str">
        <f t="shared" ref="H2:H35" si="0">LEFT(A2,2)</f>
        <v>28</v>
      </c>
      <c r="I2" s="11" t="str">
        <f t="shared" ref="I2:I35" si="1">RIGHT(A2,2)</f>
        <v>US</v>
      </c>
      <c r="J2" s="11" t="str">
        <f t="shared" ref="J2:J35" si="2">MID(A2,4,3)</f>
        <v>JAN</v>
      </c>
    </row>
    <row r="3" spans="1:19" ht="15.75" customHeight="1" x14ac:dyDescent="0.2">
      <c r="A3" s="14" t="s">
        <v>14</v>
      </c>
      <c r="B3" s="16" t="s">
        <v>15</v>
      </c>
      <c r="C3" s="16" t="s">
        <v>16</v>
      </c>
      <c r="D3" s="12">
        <v>80</v>
      </c>
      <c r="E3" s="12">
        <v>15</v>
      </c>
      <c r="F3" s="16" t="s">
        <v>17</v>
      </c>
      <c r="G3" s="16" t="str">
        <f t="shared" ref="G3:G35" si="3">IF(D3&gt;=500,"High Price","Standard Price")</f>
        <v>Standard Price</v>
      </c>
      <c r="H3" s="12" t="str">
        <f t="shared" si="0"/>
        <v>15</v>
      </c>
      <c r="I3" s="12" t="str">
        <f t="shared" si="1"/>
        <v>US</v>
      </c>
      <c r="J3" s="12" t="str">
        <f t="shared" si="2"/>
        <v>FEB</v>
      </c>
    </row>
    <row r="4" spans="1:19" ht="15.75" customHeight="1" x14ac:dyDescent="0.2">
      <c r="A4" s="13" t="s">
        <v>18</v>
      </c>
      <c r="B4" s="15" t="s">
        <v>19</v>
      </c>
      <c r="C4" s="15" t="s">
        <v>20</v>
      </c>
      <c r="D4" s="11">
        <v>130</v>
      </c>
      <c r="E4" s="11">
        <v>40</v>
      </c>
      <c r="F4" s="15" t="s">
        <v>21</v>
      </c>
      <c r="G4" s="15" t="str">
        <f t="shared" si="3"/>
        <v>Standard Price</v>
      </c>
      <c r="H4" s="11" t="str">
        <f t="shared" si="0"/>
        <v>03</v>
      </c>
      <c r="I4" s="11" t="str">
        <f t="shared" si="1"/>
        <v>US</v>
      </c>
      <c r="J4" s="11" t="str">
        <f t="shared" si="2"/>
        <v>MAR</v>
      </c>
      <c r="L4" s="27" t="s">
        <v>120</v>
      </c>
      <c r="M4" s="27"/>
      <c r="N4" s="27"/>
      <c r="O4" s="27"/>
    </row>
    <row r="5" spans="1:19" ht="15.75" customHeight="1" x14ac:dyDescent="0.2">
      <c r="A5" s="14" t="s">
        <v>22</v>
      </c>
      <c r="B5" s="16" t="s">
        <v>23</v>
      </c>
      <c r="C5" s="16" t="s">
        <v>24</v>
      </c>
      <c r="D5" s="12">
        <v>900</v>
      </c>
      <c r="E5" s="12">
        <v>25</v>
      </c>
      <c r="F5" s="16" t="s">
        <v>13</v>
      </c>
      <c r="G5" s="16" t="str">
        <f t="shared" si="3"/>
        <v>High Price</v>
      </c>
      <c r="H5" s="12" t="str">
        <f t="shared" si="0"/>
        <v>11</v>
      </c>
      <c r="I5" s="12" t="str">
        <f t="shared" si="1"/>
        <v>US</v>
      </c>
      <c r="J5" s="12" t="str">
        <f t="shared" si="2"/>
        <v>APR</v>
      </c>
      <c r="L5" s="27"/>
      <c r="M5" s="27"/>
      <c r="N5" s="27"/>
      <c r="O5" s="27"/>
    </row>
    <row r="6" spans="1:19" ht="15.75" customHeight="1" x14ac:dyDescent="0.2">
      <c r="A6" s="13" t="s">
        <v>25</v>
      </c>
      <c r="B6" s="15" t="s">
        <v>26</v>
      </c>
      <c r="C6" s="15" t="s">
        <v>27</v>
      </c>
      <c r="D6" s="11">
        <v>70</v>
      </c>
      <c r="E6" s="11">
        <v>20</v>
      </c>
      <c r="F6" s="15" t="s">
        <v>28</v>
      </c>
      <c r="G6" s="15" t="str">
        <f t="shared" si="3"/>
        <v>Standard Price</v>
      </c>
      <c r="H6" s="11" t="str">
        <f t="shared" si="0"/>
        <v>22</v>
      </c>
      <c r="I6" s="11" t="str">
        <f t="shared" si="1"/>
        <v>US</v>
      </c>
      <c r="J6" s="11" t="str">
        <f t="shared" si="2"/>
        <v>MAY</v>
      </c>
      <c r="L6" s="27"/>
      <c r="M6" s="27"/>
      <c r="N6" s="27"/>
      <c r="O6" s="27"/>
    </row>
    <row r="7" spans="1:19" ht="15.75" customHeight="1" x14ac:dyDescent="0.2">
      <c r="A7" s="14" t="s">
        <v>29</v>
      </c>
      <c r="B7" s="16" t="s">
        <v>30</v>
      </c>
      <c r="C7" s="16" t="s">
        <v>31</v>
      </c>
      <c r="D7" s="12">
        <v>200</v>
      </c>
      <c r="E7" s="12">
        <v>45</v>
      </c>
      <c r="F7" s="16" t="s">
        <v>13</v>
      </c>
      <c r="G7" s="16" t="str">
        <f t="shared" si="3"/>
        <v>Standard Price</v>
      </c>
      <c r="H7" s="12" t="str">
        <f t="shared" si="0"/>
        <v>07</v>
      </c>
      <c r="I7" s="12" t="str">
        <f t="shared" si="1"/>
        <v>UK</v>
      </c>
      <c r="J7" s="12" t="str">
        <f t="shared" si="2"/>
        <v>JUN</v>
      </c>
      <c r="L7" s="27"/>
      <c r="M7" s="27"/>
      <c r="N7" s="27"/>
      <c r="O7" s="27"/>
      <c r="P7" s="2"/>
      <c r="Q7" s="2"/>
      <c r="R7" s="2"/>
      <c r="S7" s="2"/>
    </row>
    <row r="8" spans="1:19" ht="15.75" customHeight="1" x14ac:dyDescent="0.25">
      <c r="A8" s="13" t="s">
        <v>32</v>
      </c>
      <c r="B8" s="15" t="s">
        <v>33</v>
      </c>
      <c r="C8" s="15" t="s">
        <v>34</v>
      </c>
      <c r="D8" s="11">
        <v>30</v>
      </c>
      <c r="E8" s="11">
        <v>5</v>
      </c>
      <c r="F8" s="15" t="s">
        <v>17</v>
      </c>
      <c r="G8" s="15" t="str">
        <f t="shared" si="3"/>
        <v>Standard Price</v>
      </c>
      <c r="H8" s="11" t="str">
        <f t="shared" si="0"/>
        <v>19</v>
      </c>
      <c r="I8" s="11" t="str">
        <f t="shared" si="1"/>
        <v>UK</v>
      </c>
      <c r="J8" s="11" t="str">
        <f t="shared" si="2"/>
        <v>JUL</v>
      </c>
      <c r="K8" s="29" t="s">
        <v>125</v>
      </c>
      <c r="L8" s="30"/>
      <c r="M8" s="30"/>
      <c r="N8" s="28"/>
      <c r="O8" s="28"/>
      <c r="P8" s="2"/>
      <c r="Q8" s="2"/>
      <c r="R8" s="2"/>
      <c r="S8" s="2"/>
    </row>
    <row r="9" spans="1:19" ht="15.75" customHeight="1" x14ac:dyDescent="0.25">
      <c r="A9" s="14" t="s">
        <v>35</v>
      </c>
      <c r="B9" s="16" t="s">
        <v>36</v>
      </c>
      <c r="C9" s="16" t="s">
        <v>37</v>
      </c>
      <c r="D9" s="12">
        <v>90</v>
      </c>
      <c r="E9" s="12">
        <v>35</v>
      </c>
      <c r="F9" s="16" t="s">
        <v>21</v>
      </c>
      <c r="G9" s="16" t="str">
        <f t="shared" si="3"/>
        <v>Standard Price</v>
      </c>
      <c r="H9" s="12" t="str">
        <f t="shared" si="0"/>
        <v>23</v>
      </c>
      <c r="I9" s="12" t="str">
        <f t="shared" si="1"/>
        <v>UK</v>
      </c>
      <c r="J9" s="12" t="str">
        <f t="shared" si="2"/>
        <v>AUG</v>
      </c>
      <c r="L9" s="17" t="s">
        <v>124</v>
      </c>
      <c r="M9" s="17"/>
    </row>
    <row r="10" spans="1:19" ht="15.75" customHeight="1" x14ac:dyDescent="0.25">
      <c r="A10" s="13" t="s">
        <v>38</v>
      </c>
      <c r="B10" s="15" t="s">
        <v>39</v>
      </c>
      <c r="C10" s="15" t="s">
        <v>40</v>
      </c>
      <c r="D10" s="11">
        <v>500</v>
      </c>
      <c r="E10" s="11">
        <v>50</v>
      </c>
      <c r="F10" s="15" t="s">
        <v>13</v>
      </c>
      <c r="G10" s="15" t="str">
        <f t="shared" si="3"/>
        <v>High Price</v>
      </c>
      <c r="H10" s="11" t="str">
        <f t="shared" si="0"/>
        <v>05</v>
      </c>
      <c r="I10" s="11" t="str">
        <f t="shared" si="1"/>
        <v>UK</v>
      </c>
      <c r="J10" s="11" t="str">
        <f t="shared" si="2"/>
        <v>SEP</v>
      </c>
      <c r="L10" s="17"/>
      <c r="M10" s="17"/>
    </row>
    <row r="11" spans="1:19" ht="15.75" customHeight="1" x14ac:dyDescent="0.25">
      <c r="A11" s="14" t="s">
        <v>41</v>
      </c>
      <c r="B11" s="16" t="s">
        <v>42</v>
      </c>
      <c r="C11" s="16" t="s">
        <v>43</v>
      </c>
      <c r="D11" s="12">
        <v>130</v>
      </c>
      <c r="E11" s="12">
        <v>10</v>
      </c>
      <c r="F11" s="16" t="s">
        <v>28</v>
      </c>
      <c r="G11" s="16" t="str">
        <f t="shared" si="3"/>
        <v>Standard Price</v>
      </c>
      <c r="H11" s="12" t="str">
        <f t="shared" si="0"/>
        <v>14</v>
      </c>
      <c r="I11" s="12" t="str">
        <f t="shared" si="1"/>
        <v>UK</v>
      </c>
      <c r="J11" s="12" t="str">
        <f t="shared" si="2"/>
        <v>OCT</v>
      </c>
      <c r="L11" s="17" t="s">
        <v>122</v>
      </c>
      <c r="M11" s="17"/>
    </row>
    <row r="12" spans="1:19" ht="15.75" customHeight="1" x14ac:dyDescent="0.25">
      <c r="A12" s="13" t="s">
        <v>44</v>
      </c>
      <c r="B12" s="15" t="s">
        <v>11</v>
      </c>
      <c r="C12" s="15" t="s">
        <v>45</v>
      </c>
      <c r="D12" s="11">
        <v>950</v>
      </c>
      <c r="E12" s="11">
        <v>25</v>
      </c>
      <c r="F12" s="15" t="s">
        <v>13</v>
      </c>
      <c r="G12" s="15" t="str">
        <f t="shared" si="3"/>
        <v>High Price</v>
      </c>
      <c r="H12" s="11" t="str">
        <f t="shared" si="0"/>
        <v>17</v>
      </c>
      <c r="I12" s="11" t="str">
        <f t="shared" si="1"/>
        <v>IN</v>
      </c>
      <c r="J12" s="11" t="str">
        <f t="shared" si="2"/>
        <v>JUN</v>
      </c>
      <c r="L12" s="17"/>
      <c r="M12" s="17"/>
    </row>
    <row r="13" spans="1:19" ht="15.75" customHeight="1" x14ac:dyDescent="0.25">
      <c r="A13" s="14" t="s">
        <v>46</v>
      </c>
      <c r="B13" s="16" t="s">
        <v>15</v>
      </c>
      <c r="C13" s="16" t="s">
        <v>34</v>
      </c>
      <c r="D13" s="12">
        <v>90</v>
      </c>
      <c r="E13" s="12">
        <v>40</v>
      </c>
      <c r="F13" s="16" t="s">
        <v>17</v>
      </c>
      <c r="G13" s="16" t="str">
        <f t="shared" si="3"/>
        <v>Standard Price</v>
      </c>
      <c r="H13" s="12" t="str">
        <f t="shared" si="0"/>
        <v>25</v>
      </c>
      <c r="I13" s="12" t="str">
        <f t="shared" si="1"/>
        <v>AU</v>
      </c>
      <c r="J13" s="12" t="str">
        <f t="shared" si="2"/>
        <v>NOV</v>
      </c>
      <c r="L13" s="17" t="s">
        <v>123</v>
      </c>
      <c r="M13" s="17"/>
    </row>
    <row r="14" spans="1:19" ht="15.75" customHeight="1" x14ac:dyDescent="0.2">
      <c r="A14" s="13" t="s">
        <v>47</v>
      </c>
      <c r="B14" s="15" t="s">
        <v>19</v>
      </c>
      <c r="C14" s="15" t="s">
        <v>48</v>
      </c>
      <c r="D14" s="11">
        <v>120</v>
      </c>
      <c r="E14" s="11">
        <v>35</v>
      </c>
      <c r="F14" s="15" t="s">
        <v>21</v>
      </c>
      <c r="G14" s="15" t="str">
        <f t="shared" si="3"/>
        <v>Standard Price</v>
      </c>
      <c r="H14" s="11" t="str">
        <f t="shared" si="0"/>
        <v>08</v>
      </c>
      <c r="I14" s="11" t="str">
        <f t="shared" si="1"/>
        <v>DE</v>
      </c>
      <c r="J14" s="11" t="str">
        <f t="shared" si="2"/>
        <v>DEC</v>
      </c>
    </row>
    <row r="15" spans="1:19" ht="15.75" customHeight="1" x14ac:dyDescent="0.2">
      <c r="A15" s="14" t="s">
        <v>49</v>
      </c>
      <c r="B15" s="16" t="s">
        <v>50</v>
      </c>
      <c r="C15" s="16" t="s">
        <v>51</v>
      </c>
      <c r="D15" s="12">
        <v>150</v>
      </c>
      <c r="E15" s="12">
        <v>15</v>
      </c>
      <c r="F15" s="16" t="s">
        <v>13</v>
      </c>
      <c r="G15" s="16" t="str">
        <f t="shared" si="3"/>
        <v>Standard Price</v>
      </c>
      <c r="H15" s="12" t="str">
        <f t="shared" si="0"/>
        <v>18</v>
      </c>
      <c r="I15" s="12" t="str">
        <f t="shared" si="1"/>
        <v>CA</v>
      </c>
      <c r="J15" s="12" t="str">
        <f t="shared" si="2"/>
        <v>FEB</v>
      </c>
    </row>
    <row r="16" spans="1:19" ht="15.75" customHeight="1" x14ac:dyDescent="0.25">
      <c r="A16" s="13" t="s">
        <v>52</v>
      </c>
      <c r="B16" s="15" t="s">
        <v>30</v>
      </c>
      <c r="C16" s="15" t="s">
        <v>53</v>
      </c>
      <c r="D16" s="11">
        <v>250</v>
      </c>
      <c r="E16" s="11">
        <v>20</v>
      </c>
      <c r="F16" s="15" t="s">
        <v>13</v>
      </c>
      <c r="G16" s="15" t="str">
        <f t="shared" si="3"/>
        <v>Standard Price</v>
      </c>
      <c r="H16" s="11" t="str">
        <f t="shared" si="0"/>
        <v>16</v>
      </c>
      <c r="I16" s="11" t="str">
        <f t="shared" si="1"/>
        <v>ES</v>
      </c>
      <c r="J16" s="11" t="str">
        <f t="shared" si="2"/>
        <v>APR</v>
      </c>
      <c r="L16" s="18" t="s">
        <v>121</v>
      </c>
      <c r="M16" s="19"/>
      <c r="N16" s="19"/>
    </row>
    <row r="17" spans="1:14" ht="15.75" customHeight="1" x14ac:dyDescent="0.25">
      <c r="A17" s="14" t="s">
        <v>54</v>
      </c>
      <c r="B17" s="16" t="s">
        <v>55</v>
      </c>
      <c r="C17" s="16" t="s">
        <v>56</v>
      </c>
      <c r="D17" s="12">
        <v>50</v>
      </c>
      <c r="E17" s="12">
        <v>35</v>
      </c>
      <c r="F17" s="16" t="s">
        <v>57</v>
      </c>
      <c r="G17" s="16" t="str">
        <f t="shared" si="3"/>
        <v>Standard Price</v>
      </c>
      <c r="H17" s="12" t="str">
        <f t="shared" si="0"/>
        <v>21</v>
      </c>
      <c r="I17" s="12" t="str">
        <f t="shared" si="1"/>
        <v>CA</v>
      </c>
      <c r="J17" s="12" t="str">
        <f t="shared" si="2"/>
        <v>AUG</v>
      </c>
      <c r="L17" s="26" t="s">
        <v>128</v>
      </c>
      <c r="M17" s="26"/>
      <c r="N17" s="19"/>
    </row>
    <row r="18" spans="1:14" ht="15.75" customHeight="1" x14ac:dyDescent="0.25">
      <c r="A18" s="13" t="s">
        <v>58</v>
      </c>
      <c r="B18" s="15" t="s">
        <v>50</v>
      </c>
      <c r="C18" s="15" t="s">
        <v>59</v>
      </c>
      <c r="D18" s="11">
        <v>160</v>
      </c>
      <c r="E18" s="11">
        <v>15</v>
      </c>
      <c r="F18" s="15" t="s">
        <v>13</v>
      </c>
      <c r="G18" s="15" t="str">
        <f t="shared" si="3"/>
        <v>Standard Price</v>
      </c>
      <c r="H18" s="11" t="str">
        <f t="shared" si="0"/>
        <v>20</v>
      </c>
      <c r="I18" s="11" t="str">
        <f t="shared" si="1"/>
        <v>CN</v>
      </c>
      <c r="J18" s="11" t="str">
        <f t="shared" si="2"/>
        <v>AUG</v>
      </c>
      <c r="L18" s="25" t="s">
        <v>126</v>
      </c>
      <c r="M18" s="25"/>
      <c r="N18" s="19"/>
    </row>
    <row r="19" spans="1:14" ht="15.75" customHeight="1" x14ac:dyDescent="0.25">
      <c r="A19" s="14" t="s">
        <v>60</v>
      </c>
      <c r="B19" s="16" t="s">
        <v>11</v>
      </c>
      <c r="C19" s="16" t="s">
        <v>61</v>
      </c>
      <c r="D19" s="12">
        <v>980</v>
      </c>
      <c r="E19" s="12">
        <v>10</v>
      </c>
      <c r="F19" s="16" t="s">
        <v>13</v>
      </c>
      <c r="G19" s="16" t="str">
        <f t="shared" si="3"/>
        <v>High Price</v>
      </c>
      <c r="H19" s="12" t="str">
        <f t="shared" si="0"/>
        <v>27</v>
      </c>
      <c r="I19" s="12" t="str">
        <f t="shared" si="1"/>
        <v>IT</v>
      </c>
      <c r="J19" s="12" t="str">
        <f t="shared" si="2"/>
        <v>JAN</v>
      </c>
      <c r="L19" s="25" t="s">
        <v>127</v>
      </c>
      <c r="M19" s="25"/>
      <c r="N19" s="19"/>
    </row>
    <row r="20" spans="1:14" ht="15.75" customHeight="1" x14ac:dyDescent="0.2">
      <c r="A20" s="13" t="s">
        <v>62</v>
      </c>
      <c r="B20" s="15" t="s">
        <v>63</v>
      </c>
      <c r="C20" s="15" t="s">
        <v>64</v>
      </c>
      <c r="D20" s="11">
        <v>150</v>
      </c>
      <c r="E20" s="11">
        <v>15</v>
      </c>
      <c r="F20" s="15" t="s">
        <v>17</v>
      </c>
      <c r="G20" s="15" t="str">
        <f t="shared" si="3"/>
        <v>Standard Price</v>
      </c>
      <c r="H20" s="11" t="str">
        <f t="shared" si="0"/>
        <v>01</v>
      </c>
      <c r="I20" s="11" t="str">
        <f t="shared" si="1"/>
        <v>UK</v>
      </c>
      <c r="J20" s="11" t="str">
        <f t="shared" si="2"/>
        <v>MAR</v>
      </c>
    </row>
    <row r="21" spans="1:14" ht="15.75" customHeight="1" x14ac:dyDescent="0.2">
      <c r="A21" s="14" t="s">
        <v>65</v>
      </c>
      <c r="B21" s="16" t="s">
        <v>66</v>
      </c>
      <c r="C21" s="16" t="s">
        <v>67</v>
      </c>
      <c r="D21" s="12">
        <v>200</v>
      </c>
      <c r="E21" s="12">
        <v>10</v>
      </c>
      <c r="F21" s="16" t="s">
        <v>28</v>
      </c>
      <c r="G21" s="16" t="str">
        <f t="shared" si="3"/>
        <v>Standard Price</v>
      </c>
      <c r="H21" s="12" t="str">
        <f t="shared" si="0"/>
        <v>14</v>
      </c>
      <c r="I21" s="12" t="str">
        <f t="shared" si="1"/>
        <v>US</v>
      </c>
      <c r="J21" s="12" t="str">
        <f t="shared" si="2"/>
        <v>AUG</v>
      </c>
    </row>
    <row r="22" spans="1:14" ht="15.75" customHeight="1" x14ac:dyDescent="0.25">
      <c r="A22" s="13" t="s">
        <v>68</v>
      </c>
      <c r="B22" s="15" t="s">
        <v>69</v>
      </c>
      <c r="C22" s="15" t="s">
        <v>70</v>
      </c>
      <c r="D22" s="11">
        <v>700</v>
      </c>
      <c r="E22" s="11">
        <v>50</v>
      </c>
      <c r="F22" s="15" t="s">
        <v>13</v>
      </c>
      <c r="G22" s="15" t="str">
        <f t="shared" si="3"/>
        <v>High Price</v>
      </c>
      <c r="H22" s="11" t="str">
        <f t="shared" si="0"/>
        <v>14</v>
      </c>
      <c r="I22" s="11" t="str">
        <f t="shared" si="1"/>
        <v>RU</v>
      </c>
      <c r="J22" s="11" t="str">
        <f t="shared" si="2"/>
        <v>MAY</v>
      </c>
      <c r="L22" s="26"/>
      <c r="M22" s="26"/>
    </row>
    <row r="23" spans="1:14" ht="15.75" customHeight="1" x14ac:dyDescent="0.25">
      <c r="A23" s="14" t="s">
        <v>71</v>
      </c>
      <c r="B23" s="16" t="s">
        <v>72</v>
      </c>
      <c r="C23" s="16" t="s">
        <v>73</v>
      </c>
      <c r="D23" s="12">
        <v>80</v>
      </c>
      <c r="E23" s="12">
        <v>20</v>
      </c>
      <c r="F23" s="16" t="s">
        <v>21</v>
      </c>
      <c r="G23" s="16" t="str">
        <f t="shared" si="3"/>
        <v>Standard Price</v>
      </c>
      <c r="H23" s="12" t="str">
        <f t="shared" si="0"/>
        <v>09</v>
      </c>
      <c r="I23" s="12" t="str">
        <f t="shared" si="1"/>
        <v>CA</v>
      </c>
      <c r="J23" s="12" t="str">
        <f t="shared" si="2"/>
        <v>JAN</v>
      </c>
      <c r="L23" s="25"/>
      <c r="M23" s="25"/>
    </row>
    <row r="24" spans="1:14" ht="15.75" customHeight="1" x14ac:dyDescent="0.25">
      <c r="A24" s="13" t="s">
        <v>74</v>
      </c>
      <c r="B24" s="15" t="s">
        <v>75</v>
      </c>
      <c r="C24" s="15" t="s">
        <v>76</v>
      </c>
      <c r="D24" s="11">
        <v>150</v>
      </c>
      <c r="E24" s="11">
        <v>30</v>
      </c>
      <c r="F24" s="15" t="s">
        <v>13</v>
      </c>
      <c r="G24" s="15" t="str">
        <f t="shared" si="3"/>
        <v>Standard Price</v>
      </c>
      <c r="H24" s="11" t="str">
        <f t="shared" si="0"/>
        <v>19</v>
      </c>
      <c r="I24" s="11" t="str">
        <f t="shared" si="1"/>
        <v>BR</v>
      </c>
      <c r="J24" s="11" t="str">
        <f t="shared" si="2"/>
        <v>JUL</v>
      </c>
      <c r="L24" s="25"/>
      <c r="M24" s="25"/>
    </row>
    <row r="25" spans="1:14" ht="15.75" customHeight="1" x14ac:dyDescent="0.2">
      <c r="A25" s="14" t="s">
        <v>54</v>
      </c>
      <c r="B25" s="16" t="s">
        <v>55</v>
      </c>
      <c r="C25" s="16" t="s">
        <v>56</v>
      </c>
      <c r="D25" s="12">
        <v>50</v>
      </c>
      <c r="E25" s="12">
        <v>35</v>
      </c>
      <c r="F25" s="16" t="s">
        <v>57</v>
      </c>
      <c r="G25" s="16" t="str">
        <f t="shared" si="3"/>
        <v>Standard Price</v>
      </c>
      <c r="H25" s="12" t="str">
        <f t="shared" si="0"/>
        <v>21</v>
      </c>
      <c r="I25" s="12" t="str">
        <f t="shared" si="1"/>
        <v>CA</v>
      </c>
      <c r="J25" s="12" t="str">
        <f t="shared" si="2"/>
        <v>AUG</v>
      </c>
    </row>
    <row r="26" spans="1:14" ht="15.75" customHeight="1" x14ac:dyDescent="0.2">
      <c r="A26" s="13" t="s">
        <v>77</v>
      </c>
      <c r="B26" s="15" t="s">
        <v>23</v>
      </c>
      <c r="C26" s="15" t="s">
        <v>78</v>
      </c>
      <c r="D26" s="11">
        <v>800</v>
      </c>
      <c r="E26" s="11">
        <v>45</v>
      </c>
      <c r="F26" s="15" t="s">
        <v>13</v>
      </c>
      <c r="G26" s="15" t="str">
        <f t="shared" si="3"/>
        <v>High Price</v>
      </c>
      <c r="H26" s="11" t="str">
        <f t="shared" si="0"/>
        <v>29</v>
      </c>
      <c r="I26" s="11" t="str">
        <f t="shared" si="1"/>
        <v>CA</v>
      </c>
      <c r="J26" s="11" t="str">
        <f t="shared" si="2"/>
        <v>SEP</v>
      </c>
    </row>
    <row r="27" spans="1:14" ht="15.75" customHeight="1" x14ac:dyDescent="0.2">
      <c r="A27" s="14" t="s">
        <v>79</v>
      </c>
      <c r="B27" s="16" t="s">
        <v>63</v>
      </c>
      <c r="C27" s="16" t="s">
        <v>80</v>
      </c>
      <c r="D27" s="12">
        <v>130</v>
      </c>
      <c r="E27" s="12">
        <v>25</v>
      </c>
      <c r="F27" s="16" t="s">
        <v>17</v>
      </c>
      <c r="G27" s="16" t="str">
        <f t="shared" si="3"/>
        <v>Standard Price</v>
      </c>
      <c r="H27" s="12" t="str">
        <f t="shared" si="0"/>
        <v>03</v>
      </c>
      <c r="I27" s="12" t="str">
        <f t="shared" si="1"/>
        <v>CA</v>
      </c>
      <c r="J27" s="12" t="str">
        <f t="shared" si="2"/>
        <v>JUN</v>
      </c>
    </row>
    <row r="28" spans="1:14" ht="15.75" customHeight="1" x14ac:dyDescent="0.2">
      <c r="A28" s="13" t="s">
        <v>81</v>
      </c>
      <c r="B28" s="15" t="s">
        <v>36</v>
      </c>
      <c r="C28" s="15" t="s">
        <v>82</v>
      </c>
      <c r="D28" s="11">
        <v>400</v>
      </c>
      <c r="E28" s="11">
        <v>40</v>
      </c>
      <c r="F28" s="15" t="s">
        <v>21</v>
      </c>
      <c r="G28" s="15" t="str">
        <f t="shared" si="3"/>
        <v>Standard Price</v>
      </c>
      <c r="H28" s="11" t="str">
        <f t="shared" si="0"/>
        <v>11</v>
      </c>
      <c r="I28" s="11" t="str">
        <f t="shared" si="1"/>
        <v>CA</v>
      </c>
      <c r="J28" s="11" t="str">
        <f t="shared" si="2"/>
        <v>JUL</v>
      </c>
    </row>
    <row r="29" spans="1:14" ht="15.75" customHeight="1" x14ac:dyDescent="0.2">
      <c r="A29" s="14" t="s">
        <v>52</v>
      </c>
      <c r="B29" s="16" t="s">
        <v>30</v>
      </c>
      <c r="C29" s="16" t="s">
        <v>53</v>
      </c>
      <c r="D29" s="12">
        <v>230</v>
      </c>
      <c r="E29" s="12">
        <v>20</v>
      </c>
      <c r="F29" s="16" t="s">
        <v>13</v>
      </c>
      <c r="G29" s="16" t="str">
        <f t="shared" si="3"/>
        <v>Standard Price</v>
      </c>
      <c r="H29" s="12" t="str">
        <f t="shared" si="0"/>
        <v>16</v>
      </c>
      <c r="I29" s="12" t="str">
        <f t="shared" si="1"/>
        <v>ES</v>
      </c>
      <c r="J29" s="12" t="str">
        <f t="shared" si="2"/>
        <v>APR</v>
      </c>
    </row>
    <row r="30" spans="1:14" ht="15.75" customHeight="1" x14ac:dyDescent="0.2">
      <c r="A30" s="13" t="s">
        <v>83</v>
      </c>
      <c r="B30" s="15" t="s">
        <v>84</v>
      </c>
      <c r="C30" s="15" t="s">
        <v>85</v>
      </c>
      <c r="D30" s="11">
        <v>60</v>
      </c>
      <c r="E30" s="11">
        <v>30</v>
      </c>
      <c r="F30" s="15" t="s">
        <v>17</v>
      </c>
      <c r="G30" s="15" t="str">
        <f t="shared" si="3"/>
        <v>Standard Price</v>
      </c>
      <c r="H30" s="11" t="str">
        <f t="shared" si="0"/>
        <v>07</v>
      </c>
      <c r="I30" s="11" t="str">
        <f t="shared" si="1"/>
        <v>CA</v>
      </c>
      <c r="J30" s="11" t="str">
        <f t="shared" si="2"/>
        <v>MAR</v>
      </c>
    </row>
    <row r="31" spans="1:14" ht="15.75" customHeight="1" x14ac:dyDescent="0.2">
      <c r="A31" s="14" t="s">
        <v>86</v>
      </c>
      <c r="B31" s="16" t="s">
        <v>87</v>
      </c>
      <c r="C31" s="16" t="s">
        <v>88</v>
      </c>
      <c r="D31" s="12">
        <v>40</v>
      </c>
      <c r="E31" s="12">
        <v>10</v>
      </c>
      <c r="F31" s="16" t="s">
        <v>21</v>
      </c>
      <c r="G31" s="16" t="str">
        <f t="shared" si="3"/>
        <v>Standard Price</v>
      </c>
      <c r="H31" s="12" t="str">
        <f t="shared" si="0"/>
        <v>13</v>
      </c>
      <c r="I31" s="12" t="str">
        <f t="shared" si="1"/>
        <v>CA</v>
      </c>
      <c r="J31" s="12" t="str">
        <f t="shared" si="2"/>
        <v>APR</v>
      </c>
    </row>
    <row r="32" spans="1:14" ht="15.75" customHeight="1" x14ac:dyDescent="0.2">
      <c r="A32" s="13" t="s">
        <v>89</v>
      </c>
      <c r="B32" s="15" t="s">
        <v>75</v>
      </c>
      <c r="C32" s="15" t="s">
        <v>90</v>
      </c>
      <c r="D32" s="11">
        <v>130</v>
      </c>
      <c r="E32" s="11">
        <v>5</v>
      </c>
      <c r="F32" s="15" t="s">
        <v>13</v>
      </c>
      <c r="G32" s="15" t="str">
        <f t="shared" si="3"/>
        <v>Standard Price</v>
      </c>
      <c r="H32" s="11" t="str">
        <f t="shared" si="0"/>
        <v>24</v>
      </c>
      <c r="I32" s="11" t="str">
        <f t="shared" si="1"/>
        <v>CA</v>
      </c>
      <c r="J32" s="11" t="str">
        <f t="shared" si="2"/>
        <v>MAY</v>
      </c>
    </row>
    <row r="33" spans="1:10" ht="15.75" customHeight="1" x14ac:dyDescent="0.2">
      <c r="A33" s="14" t="s">
        <v>91</v>
      </c>
      <c r="B33" s="16" t="s">
        <v>92</v>
      </c>
      <c r="C33" s="16" t="s">
        <v>93</v>
      </c>
      <c r="D33" s="12">
        <v>50</v>
      </c>
      <c r="E33" s="12">
        <v>50</v>
      </c>
      <c r="F33" s="16" t="s">
        <v>17</v>
      </c>
      <c r="G33" s="16" t="str">
        <f t="shared" si="3"/>
        <v>Standard Price</v>
      </c>
      <c r="H33" s="12" t="str">
        <f t="shared" si="0"/>
        <v>02</v>
      </c>
      <c r="I33" s="12" t="str">
        <f t="shared" si="1"/>
        <v>CA</v>
      </c>
      <c r="J33" s="12" t="str">
        <f t="shared" si="2"/>
        <v>DEC</v>
      </c>
    </row>
    <row r="34" spans="1:10" ht="15.75" customHeight="1" x14ac:dyDescent="0.2">
      <c r="A34" s="13" t="s">
        <v>44</v>
      </c>
      <c r="B34" s="15" t="s">
        <v>11</v>
      </c>
      <c r="C34" s="15" t="s">
        <v>45</v>
      </c>
      <c r="D34" s="11">
        <v>950</v>
      </c>
      <c r="E34" s="11">
        <v>25</v>
      </c>
      <c r="F34" s="15" t="s">
        <v>13</v>
      </c>
      <c r="G34" s="15" t="str">
        <f t="shared" si="3"/>
        <v>High Price</v>
      </c>
      <c r="H34" s="11" t="str">
        <f t="shared" si="0"/>
        <v>17</v>
      </c>
      <c r="I34" s="11" t="str">
        <f t="shared" si="1"/>
        <v>IN</v>
      </c>
      <c r="J34" s="11" t="str">
        <f t="shared" si="2"/>
        <v>JUN</v>
      </c>
    </row>
    <row r="35" spans="1:10" ht="15.75" customHeight="1" x14ac:dyDescent="0.2">
      <c r="A35" s="14" t="s">
        <v>94</v>
      </c>
      <c r="B35" s="16" t="s">
        <v>95</v>
      </c>
      <c r="C35" s="16" t="s">
        <v>96</v>
      </c>
      <c r="D35" s="12">
        <v>100</v>
      </c>
      <c r="E35" s="12">
        <v>20</v>
      </c>
      <c r="F35" s="16" t="s">
        <v>57</v>
      </c>
      <c r="G35" s="16" t="str">
        <f t="shared" si="3"/>
        <v>Standard Price</v>
      </c>
      <c r="H35" s="12" t="str">
        <f t="shared" si="0"/>
        <v>09</v>
      </c>
      <c r="I35" s="12" t="str">
        <f t="shared" si="1"/>
        <v>FR</v>
      </c>
      <c r="J35" s="12" t="str">
        <f t="shared" si="2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autoFilter ref="A1:J26" xr:uid="{00000000-0001-0000-0000-000000000000}"/>
  <mergeCells count="9">
    <mergeCell ref="L19:M19"/>
    <mergeCell ref="L22:M22"/>
    <mergeCell ref="L23:M23"/>
    <mergeCell ref="L24:M24"/>
    <mergeCell ref="L4:O7"/>
    <mergeCell ref="N8:O8"/>
    <mergeCell ref="K8:M8"/>
    <mergeCell ref="L17:M17"/>
    <mergeCell ref="L18:M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Task1_Sum_Count_Avg</vt:lpstr>
      <vt:lpstr>Task2_Min_Max</vt:lpstr>
      <vt:lpstr>Task3_IF_PriceRange</vt:lpstr>
      <vt:lpstr>Task4_SUMIF_COUNTIF</vt:lpstr>
      <vt:lpstr>Task5_Text_Functions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Senthil Raj</cp:lastModifiedBy>
  <cp:revision>0</cp:revision>
  <dcterms:created xsi:type="dcterms:W3CDTF">2026-09-14T06:18:28Z</dcterms:created>
  <dcterms:modified xsi:type="dcterms:W3CDTF">2026-09-16T03:31:38Z</dcterms:modified>
  <dc:language>en-US</dc:language>
</cp:coreProperties>
</file>